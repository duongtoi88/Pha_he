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hả hệ\DuongDanh_pha_he\Ver 3.3\"/>
    </mc:Choice>
  </mc:AlternateContent>
  <xr:revisionPtr revIDLastSave="0" documentId="13_ncr:1_{7AC3A2DE-7B4E-4CAF-9330-CA1EB7C5B9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3" sheetId="3" r:id="rId2"/>
    <sheet name="Sheet2" sheetId="4" r:id="rId3"/>
    <sheet name="Sheet4" sheetId="5" r:id="rId4"/>
  </sheets>
  <definedNames>
    <definedName name="_xlnm._FilterDatabase" localSheetId="0" hidden="1">Sheet1!$A$1:$P$460</definedName>
    <definedName name="_xlnm._FilterDatabase" localSheetId="2" hidden="1">Sheet2!$A$1:$C$131</definedName>
    <definedName name="_xlnm._FilterDatabase" localSheetId="1" hidden="1">Sheet3!$A$1:$C$202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2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" i="5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<sst xmlns="http://schemas.openxmlformats.org/spreadsheetml/2006/main" count="2441" uniqueCount="849">
  <si>
    <t>ID</t>
  </si>
  <si>
    <t>Họ và tên</t>
  </si>
  <si>
    <t>Năm sinh</t>
  </si>
  <si>
    <t>Năm mất</t>
  </si>
  <si>
    <t>Thông tin chi tiết</t>
  </si>
  <si>
    <t>ID cha</t>
  </si>
  <si>
    <t>Dương Trung Chính</t>
  </si>
  <si>
    <t>Nguyễn Thị Ơn</t>
  </si>
  <si>
    <t>150001v1</t>
  </si>
  <si>
    <t>Dương Minh Tự</t>
  </si>
  <si>
    <t>150002v1</t>
  </si>
  <si>
    <t>Chu Thị Thực</t>
  </si>
  <si>
    <t>Dương Anh Chiến</t>
  </si>
  <si>
    <t>160001v1</t>
  </si>
  <si>
    <t>Dương Thị Ngát</t>
  </si>
  <si>
    <t>Dương Mạnh Thắng</t>
  </si>
  <si>
    <t>160002v1</t>
  </si>
  <si>
    <t>Nguyễn Thị Ly</t>
  </si>
  <si>
    <t>Dương Trọng Tới</t>
  </si>
  <si>
    <t>160003v1</t>
  </si>
  <si>
    <t>Phạm Thị Hằng</t>
  </si>
  <si>
    <t>Dương Danh Thông</t>
  </si>
  <si>
    <t>160004v1</t>
  </si>
  <si>
    <t>Nguyễn Thị Hường</t>
  </si>
  <si>
    <t>Dương Danh Thái</t>
  </si>
  <si>
    <t>160005v1</t>
  </si>
  <si>
    <t>Nguyễn Thị Kim Liên</t>
  </si>
  <si>
    <t>ID chồng</t>
  </si>
  <si>
    <t>Dương Danh Tuân</t>
  </si>
  <si>
    <t>Dương Danh Thế</t>
  </si>
  <si>
    <t>Dương Danh Việt</t>
  </si>
  <si>
    <t>Dương Danh Hiển</t>
  </si>
  <si>
    <t>Dương Danh Tuấn Anh</t>
  </si>
  <si>
    <t>Dương Danh Toản</t>
  </si>
  <si>
    <t>Trưởng phái, đời 15</t>
  </si>
  <si>
    <t>150001g1</t>
  </si>
  <si>
    <t>Dương Thị Hiệp</t>
  </si>
  <si>
    <t>150001g2</t>
  </si>
  <si>
    <t>Dương Thị Hường</t>
  </si>
  <si>
    <t>150002g1</t>
  </si>
  <si>
    <t>Dương Thị Thu</t>
  </si>
  <si>
    <t>160001g1</t>
  </si>
  <si>
    <t>Dương Thị Trà My</t>
  </si>
  <si>
    <t>160002g1</t>
  </si>
  <si>
    <t>Dương Thị Lợi Lợi</t>
  </si>
  <si>
    <t>160004g1</t>
  </si>
  <si>
    <t>Dương Thị Hồng Thúy</t>
  </si>
  <si>
    <t>Dương Thị Thùy</t>
  </si>
  <si>
    <t>160005g1</t>
  </si>
  <si>
    <t>Đời</t>
  </si>
  <si>
    <t>Đinh</t>
  </si>
  <si>
    <t>x</t>
  </si>
  <si>
    <t>140001g1</t>
  </si>
  <si>
    <t>Dương Thị Tân</t>
  </si>
  <si>
    <t>140001g2</t>
  </si>
  <si>
    <t>Dương Thị Chinh</t>
  </si>
  <si>
    <t>140001v2</t>
  </si>
  <si>
    <t>Vương Thị Tíu</t>
  </si>
  <si>
    <t>?</t>
  </si>
  <si>
    <t>Kỵ nhật</t>
  </si>
  <si>
    <t>Táng</t>
  </si>
  <si>
    <t>Dương Văn Miếu</t>
  </si>
  <si>
    <t>Cầu Cây Bàng</t>
  </si>
  <si>
    <t>Dương Danh Lang</t>
  </si>
  <si>
    <t>130001v1</t>
  </si>
  <si>
    <t>Nguyễn Thị Nhớn</t>
  </si>
  <si>
    <t>140001v1</t>
  </si>
  <si>
    <t>Nguyễn Thị Sáu</t>
  </si>
  <si>
    <t>Trưởng phái, đời 14
- Chung bia mộ cụ Lang</t>
  </si>
  <si>
    <t>Chung bia mộ cụ Lang</t>
  </si>
  <si>
    <t>Dương Danh Mưu</t>
  </si>
  <si>
    <t>Dương Danh Mô</t>
  </si>
  <si>
    <t>Dương Thuần Dụng</t>
  </si>
  <si>
    <t>01/03</t>
  </si>
  <si>
    <t>80001v1</t>
  </si>
  <si>
    <t>Nguyễn Thị Trù</t>
  </si>
  <si>
    <t>Hiệu Từ Đức</t>
  </si>
  <si>
    <t>Dương Trọng Châu</t>
  </si>
  <si>
    <t>Hiệu Phúc Bảo
- Niên hiệu Cảnh Hưng sức thụ Bách Hộ</t>
  </si>
  <si>
    <t>05/05</t>
  </si>
  <si>
    <t>90001v1</t>
  </si>
  <si>
    <t>Nguyễn Thị Anh</t>
  </si>
  <si>
    <t>Hiệu Diệu Vinh</t>
  </si>
  <si>
    <t>07/06</t>
  </si>
  <si>
    <t>Dương Trọng Hoành</t>
  </si>
  <si>
    <t>Hiệu Phúc Nhã</t>
  </si>
  <si>
    <t>19/03</t>
  </si>
  <si>
    <t>100001v1</t>
  </si>
  <si>
    <t>Nguyễn Thị Quý</t>
  </si>
  <si>
    <t>Hiệu Từ Khang</t>
  </si>
  <si>
    <t>24/04</t>
  </si>
  <si>
    <t>Dương Trọng Hoàn</t>
  </si>
  <si>
    <t>Dương Trọng Đạt</t>
  </si>
  <si>
    <t>Dương Trọng Đỉnh</t>
  </si>
  <si>
    <t>Hiệu Phúc Bình</t>
  </si>
  <si>
    <t>27/08</t>
  </si>
  <si>
    <t>110001v1</t>
  </si>
  <si>
    <t>Nguyễn Thị ?</t>
  </si>
  <si>
    <t>Hiệu Từ Vinh</t>
  </si>
  <si>
    <t>23/04</t>
  </si>
  <si>
    <t>110001v2</t>
  </si>
  <si>
    <t>Nguyễn Thị Chẩn</t>
  </si>
  <si>
    <t>Hiệu Mỹ Hoa</t>
  </si>
  <si>
    <t>07/03</t>
  </si>
  <si>
    <t>Hiệu Phúc Trạch</t>
  </si>
  <si>
    <t>20/10</t>
  </si>
  <si>
    <t>Dương Thuần Lương</t>
  </si>
  <si>
    <t>120001v1</t>
  </si>
  <si>
    <t>Hiệu Thục Hiền</t>
  </si>
  <si>
    <t>21/03</t>
  </si>
  <si>
    <t>120001v2</t>
  </si>
  <si>
    <t>Đào Thị Hai</t>
  </si>
  <si>
    <t>Hiệu Từ Thiện</t>
  </si>
  <si>
    <t>06/11</t>
  </si>
  <si>
    <t>19/10</t>
  </si>
  <si>
    <t>Dương Danh Bỉnh</t>
  </si>
  <si>
    <t>Dương Danh Dự</t>
  </si>
  <si>
    <t>Hiệu Từ Phác</t>
  </si>
  <si>
    <t>06/01</t>
  </si>
  <si>
    <t>Hiệu Chính Ích
- Cụ Dương Danh Mưu thờ tự</t>
  </si>
  <si>
    <t>Hiệu Phúc Thọ
(Tên trong gia phả là Dương Danh Lương)</t>
  </si>
  <si>
    <t>130002v1</t>
  </si>
  <si>
    <t>Nguyễn Thị Nhân</t>
  </si>
  <si>
    <t>Hiệu Từ Nhẫn</t>
  </si>
  <si>
    <t>02/10</t>
  </si>
  <si>
    <t>130002v2</t>
  </si>
  <si>
    <t>Phùng Thị Nhớn</t>
  </si>
  <si>
    <t>Hiệu Mỹ Cung</t>
  </si>
  <si>
    <t>11/04</t>
  </si>
  <si>
    <t>Dương Danh Cộng</t>
  </si>
  <si>
    <t>140002v1</t>
  </si>
  <si>
    <t>Nguyễn Thị Con</t>
  </si>
  <si>
    <t>Sinh con gái Dương Thị Hòa</t>
  </si>
  <si>
    <t>30/09</t>
  </si>
  <si>
    <t>Dương Danh Lạng</t>
  </si>
  <si>
    <t>130003v1</t>
  </si>
  <si>
    <t>Tự Tuất</t>
  </si>
  <si>
    <t>140003v1</t>
  </si>
  <si>
    <t>Nguyễn Thị Nhạn</t>
  </si>
  <si>
    <t>Dương Danh Vịnh</t>
  </si>
  <si>
    <t>150003v1</t>
  </si>
  <si>
    <t>Dương Danh Tưởng</t>
  </si>
  <si>
    <t>Dương Danh Hùng</t>
  </si>
  <si>
    <t>140004v1</t>
  </si>
  <si>
    <t>Nguyễn Thị Hà</t>
  </si>
  <si>
    <t>Dương Danh Sử</t>
  </si>
  <si>
    <t>Dương Danh Ổn</t>
  </si>
  <si>
    <t>Dương Danh Thỏa</t>
  </si>
  <si>
    <t>Dương Danh Thao</t>
  </si>
  <si>
    <t>Dương Danh Thạo</t>
  </si>
  <si>
    <t>Dương Danh Tám</t>
  </si>
  <si>
    <t>150004v1</t>
  </si>
  <si>
    <t>Nguyễn Thị Diễn</t>
  </si>
  <si>
    <t>Dương Danh Cường</t>
  </si>
  <si>
    <t>Dương Danh Thịnh</t>
  </si>
  <si>
    <t>150005v1</t>
  </si>
  <si>
    <t>Phùng Thị Tuyết</t>
  </si>
  <si>
    <t>Dương Danh Tính</t>
  </si>
  <si>
    <t>150006v1</t>
  </si>
  <si>
    <t>Nguyễn Thị Tửu</t>
  </si>
  <si>
    <t>150007v1</t>
  </si>
  <si>
    <t>Dương Danh Trọng</t>
  </si>
  <si>
    <t>150008v1</t>
  </si>
  <si>
    <t>150009v1</t>
  </si>
  <si>
    <t>150009v2</t>
  </si>
  <si>
    <t>140005v1</t>
  </si>
  <si>
    <t>Nguyễn Thị Viên</t>
  </si>
  <si>
    <t>Liệt sỹ kháng Mỹ</t>
  </si>
  <si>
    <t>Nghĩa trang liệt sỹ Quốc Oai</t>
  </si>
  <si>
    <t>Dương Danh Dũng</t>
  </si>
  <si>
    <t>Tên thật là Dương Danh Hổ?</t>
  </si>
  <si>
    <t>Dương Danh Canh</t>
  </si>
  <si>
    <t>150011v1</t>
  </si>
  <si>
    <t>Đào Thị Thanh</t>
  </si>
  <si>
    <t>Dương Danh Trường</t>
  </si>
  <si>
    <t>Dương Danh Tuấn</t>
  </si>
  <si>
    <t>150012v1</t>
  </si>
  <si>
    <t>Dương Danh Thắng</t>
  </si>
  <si>
    <t>03/08</t>
  </si>
  <si>
    <t>120002v1</t>
  </si>
  <si>
    <t>Hiệu Diệu Khai</t>
  </si>
  <si>
    <t>11/06</t>
  </si>
  <si>
    <t>Dương Danh Nhung</t>
  </si>
  <si>
    <t>Dương Danh Thục</t>
  </si>
  <si>
    <t>Dương Danh Kỳ</t>
  </si>
  <si>
    <t>Dương Danh Truật</t>
  </si>
  <si>
    <t>Dương Danh Thảo</t>
  </si>
  <si>
    <t>Hiệu Phúc Sâm</t>
  </si>
  <si>
    <t>28/05</t>
  </si>
  <si>
    <t>Nguyễn Thị Nhữ</t>
  </si>
  <si>
    <t>02/08</t>
  </si>
  <si>
    <t>Nguyễn Thị Hai</t>
  </si>
  <si>
    <t>Hiệu Từ Thai</t>
  </si>
  <si>
    <t>130004v1</t>
  </si>
  <si>
    <t>130004v2</t>
  </si>
  <si>
    <t>Dương Danh Chỉ</t>
  </si>
  <si>
    <t>140007v1</t>
  </si>
  <si>
    <t>Đào Thị Mùi</t>
  </si>
  <si>
    <t>Hiệu Diệu Quế</t>
  </si>
  <si>
    <t>Dương Danh Hồi</t>
  </si>
  <si>
    <t>Dương Danh Túc</t>
  </si>
  <si>
    <t>Tảo hóa</t>
  </si>
  <si>
    <t>150013v1</t>
  </si>
  <si>
    <t>Hiệu Phúc Luyện
- Ông Dương Danh Cát thờ tự</t>
  </si>
  <si>
    <t>130005v1</t>
  </si>
  <si>
    <t>Hiệu Từ Nhân</t>
  </si>
  <si>
    <t>Dương Danh Thược</t>
  </si>
  <si>
    <t>140008v1</t>
  </si>
  <si>
    <t>Dương Danh Cược</t>
  </si>
  <si>
    <t>Dương Danh Giá</t>
  </si>
  <si>
    <t>Dương Danh Vạn</t>
  </si>
  <si>
    <t>150015v1</t>
  </si>
  <si>
    <t>Nguyễn Thị Mão</t>
  </si>
  <si>
    <t>Dương Danh Cát</t>
  </si>
  <si>
    <t>Dương Danh Long</t>
  </si>
  <si>
    <t>Dương Danh Thêm</t>
  </si>
  <si>
    <t>160018v1</t>
  </si>
  <si>
    <t>Lý Thị Giang</t>
  </si>
  <si>
    <t>Dương Danh Đợi</t>
  </si>
  <si>
    <t>160019v1</t>
  </si>
  <si>
    <t>Lý Thị Thanh</t>
  </si>
  <si>
    <t>Dương Danh Lưỡng</t>
  </si>
  <si>
    <t>150016v1</t>
  </si>
  <si>
    <t>Nguyễn Thị Lê</t>
  </si>
  <si>
    <t>Dương Danh Phóng</t>
  </si>
  <si>
    <t>Dương Danh Lập</t>
  </si>
  <si>
    <t>Dương Danh Hải</t>
  </si>
  <si>
    <t>Dương Danh Xuyên</t>
  </si>
  <si>
    <t>160021v1</t>
  </si>
  <si>
    <t>Dương Danh Sơn</t>
  </si>
  <si>
    <t>150017v1</t>
  </si>
  <si>
    <t>Nguyễn Thị Tỵ</t>
  </si>
  <si>
    <t>Dương Danh Yên</t>
  </si>
  <si>
    <t>Dương Danh Quân</t>
  </si>
  <si>
    <t>Dương Danh Quyên</t>
  </si>
  <si>
    <t>160025v1</t>
  </si>
  <si>
    <t>Nguyễn Thị Châm</t>
  </si>
  <si>
    <t>160026v1</t>
  </si>
  <si>
    <t>Nguyễn Thị Dung</t>
  </si>
  <si>
    <t>160027v1</t>
  </si>
  <si>
    <t>Hiệu Phúc Cẩn
- Ông Dương Danh Hồi thờ tự
- Ông Dương Danh Mùi xin thờ cúng</t>
  </si>
  <si>
    <t>Hiệu Tảo Minh Nhụ Nhân Phủ Quân
- Tảo hóa</t>
  </si>
  <si>
    <t>17/06</t>
  </si>
  <si>
    <t>Hiệu Phúc Bản</t>
  </si>
  <si>
    <t>130007v1</t>
  </si>
  <si>
    <t>Nguyễn Thị Năm</t>
  </si>
  <si>
    <t>Hiệu Từ Chất Thụ Nhân</t>
  </si>
  <si>
    <t>21/12</t>
  </si>
  <si>
    <t>Dương Danh Tuất</t>
  </si>
  <si>
    <t>Hiệu Thuần Tín Phủ Quân</t>
  </si>
  <si>
    <t>28/12</t>
  </si>
  <si>
    <t>Nguyễn Thị Bé</t>
  </si>
  <si>
    <t>Hiệu Diệu Nhớn</t>
  </si>
  <si>
    <t>22/07</t>
  </si>
  <si>
    <t>Dương Danh Sửu</t>
  </si>
  <si>
    <t>Dương Danh Mùi</t>
  </si>
  <si>
    <t>Hiệu Phúc Đỏ
- Tảo hóa</t>
  </si>
  <si>
    <t>27/10</t>
  </si>
  <si>
    <t>Hiệu Phúc Mẫn</t>
  </si>
  <si>
    <t>04/01</t>
  </si>
  <si>
    <t>150019v1</t>
  </si>
  <si>
    <t>Nguyễn Thị Oanh</t>
  </si>
  <si>
    <t>Dương Hải Nam</t>
  </si>
  <si>
    <t>Dương Thành Trung</t>
  </si>
  <si>
    <t>Tên khác là Bắc</t>
  </si>
  <si>
    <t>160029v1</t>
  </si>
  <si>
    <t>Đào Thị Hợp</t>
  </si>
  <si>
    <t>Dương Danh Tùng Lâm</t>
  </si>
  <si>
    <t>Dương Danh Nhật Sơn</t>
  </si>
  <si>
    <t>Dương Hồng Ân</t>
  </si>
  <si>
    <t>160030g1</t>
  </si>
  <si>
    <t>150019g1</t>
  </si>
  <si>
    <t>150019g2</t>
  </si>
  <si>
    <t>Dương Thị Hồng Nghĩa</t>
  </si>
  <si>
    <t>Dương Thúy Hằng</t>
  </si>
  <si>
    <t>160030v1</t>
  </si>
  <si>
    <t>Ngô Thị Dương</t>
  </si>
  <si>
    <t>Ly hôn 2012</t>
  </si>
  <si>
    <t>160029g1</t>
  </si>
  <si>
    <t>Dương Minh Nguyệt</t>
  </si>
  <si>
    <t>Hiệu Thuần Nhã
- Ông Dương Danh Cừ thờ tự</t>
  </si>
  <si>
    <t>18/02</t>
  </si>
  <si>
    <t>130008v1</t>
  </si>
  <si>
    <t>Nguyễn Thị Vồi</t>
  </si>
  <si>
    <t>Hiệu Diệu Tín</t>
  </si>
  <si>
    <t>06/10</t>
  </si>
  <si>
    <t>Dương Danh Hoa</t>
  </si>
  <si>
    <t>Dương Danh Ngạc</t>
  </si>
  <si>
    <t>Dương Danh Ngải</t>
  </si>
  <si>
    <t>Dương Danh Hợi</t>
  </si>
  <si>
    <t>Hiệu Thuần Tĩnh</t>
  </si>
  <si>
    <t>18/12</t>
  </si>
  <si>
    <t>140010v1</t>
  </si>
  <si>
    <t>Nguyễn Thị Tít</t>
  </si>
  <si>
    <t>08/04</t>
  </si>
  <si>
    <t>Dương Danh Cử</t>
  </si>
  <si>
    <t>Dương Danh Bình</t>
  </si>
  <si>
    <t>150020v1</t>
  </si>
  <si>
    <t>Phùng Thị Hiền</t>
  </si>
  <si>
    <t>Dương Danh Cừ</t>
  </si>
  <si>
    <t>160031v1</t>
  </si>
  <si>
    <t>Nguyễn Thị Thắng</t>
  </si>
  <si>
    <t>Dương Danh Công</t>
  </si>
  <si>
    <t>Dương Danh Kiên</t>
  </si>
  <si>
    <t>150021v1</t>
  </si>
  <si>
    <t>Nguyễn Thị Ngợi</t>
  </si>
  <si>
    <t>Dương Danh Định</t>
  </si>
  <si>
    <t>140010v2</t>
  </si>
  <si>
    <t>Dương Danh Ninh</t>
  </si>
  <si>
    <t>Dương Danh Đài</t>
  </si>
  <si>
    <t>Nguyễn Thị An</t>
  </si>
  <si>
    <t>150022v1</t>
  </si>
  <si>
    <t>Nguyễn Thị Lương</t>
  </si>
  <si>
    <t>150023v1</t>
  </si>
  <si>
    <t>Nguyễn Thị Hòa</t>
  </si>
  <si>
    <t>Dương Danh Hưng</t>
  </si>
  <si>
    <t>Dương Danh Huy</t>
  </si>
  <si>
    <t>140011v1</t>
  </si>
  <si>
    <t>Nguyễn Thị Tư</t>
  </si>
  <si>
    <t>Dương Danh Phú</t>
  </si>
  <si>
    <t>Đỗ Thị Tùy</t>
  </si>
  <si>
    <t>150024v1</t>
  </si>
  <si>
    <t>Dương Danh Phúc</t>
  </si>
  <si>
    <t>160038v1</t>
  </si>
  <si>
    <t>Đỗ Thị Luyến</t>
  </si>
  <si>
    <t>Dương Danh Phước</t>
  </si>
  <si>
    <t>Đỗ Thị Huế</t>
  </si>
  <si>
    <t>Dương Danh Khôi</t>
  </si>
  <si>
    <t>160039v1</t>
  </si>
  <si>
    <t>140012v1</t>
  </si>
  <si>
    <t>Nguyễn Thị Nga</t>
  </si>
  <si>
    <t>Dương Danh Thiện</t>
  </si>
  <si>
    <t>Dương Danh Tuy</t>
  </si>
  <si>
    <t>03/12</t>
  </si>
  <si>
    <t>110003v1</t>
  </si>
  <si>
    <t>Hiệu Thục Chất
- Ông Dương Danh Hồi thờ tự</t>
  </si>
  <si>
    <t>01/04</t>
  </si>
  <si>
    <t>100002v1</t>
  </si>
  <si>
    <t>100002v2</t>
  </si>
  <si>
    <t>Hiệu Thanh Xuân</t>
  </si>
  <si>
    <t>07/02</t>
  </si>
  <si>
    <t>Hiệu Thiên Trường</t>
  </si>
  <si>
    <t>07/04</t>
  </si>
  <si>
    <t>Dương Trọng Nghiêm</t>
  </si>
  <si>
    <t>Dương Trọng Phong</t>
  </si>
  <si>
    <t>Hiệu Trực Thảo</t>
  </si>
  <si>
    <t>16/09</t>
  </si>
  <si>
    <t>Dương Danh Phương</t>
  </si>
  <si>
    <t>02/05</t>
  </si>
  <si>
    <t>110006v1</t>
  </si>
  <si>
    <t>Nguyễn Thị Thận</t>
  </si>
  <si>
    <t>Hiệu Mỹ Thịnh</t>
  </si>
  <si>
    <t>110006v2</t>
  </si>
  <si>
    <t>Nguyễn Thị Lân</t>
  </si>
  <si>
    <t>Hiệu Từ Nghi</t>
  </si>
  <si>
    <t>24/06</t>
  </si>
  <si>
    <t>Dương Trọng Trung</t>
  </si>
  <si>
    <t>Dương Danh Ức</t>
  </si>
  <si>
    <t>Dương Danh Tảo</t>
  </si>
  <si>
    <t>Hiệu Thuận An</t>
  </si>
  <si>
    <t>03/09</t>
  </si>
  <si>
    <t>Hiệu Chu Văn Tiên Linh</t>
  </si>
  <si>
    <t>Hiệu Phúc Nga</t>
  </si>
  <si>
    <t>120004v1</t>
  </si>
  <si>
    <t>Hiệu Thục Thanh</t>
  </si>
  <si>
    <t>22/06</t>
  </si>
  <si>
    <t>Dương Tảo Huệ</t>
  </si>
  <si>
    <t>120005v1</t>
  </si>
  <si>
    <t>Hiệu Thục Thuận</t>
  </si>
  <si>
    <t>Dương Phán Cần</t>
  </si>
  <si>
    <t>130010v1</t>
  </si>
  <si>
    <t>130010v2</t>
  </si>
  <si>
    <t>Nguyễn Thị Đoan</t>
  </si>
  <si>
    <t>Hiệu Diệu Chinh</t>
  </si>
  <si>
    <t>16/07</t>
  </si>
  <si>
    <t>Nguyễn Thị Thập</t>
  </si>
  <si>
    <t>Dương Phán Trà</t>
  </si>
  <si>
    <t>Hiệu Pháp Thông</t>
  </si>
  <si>
    <t>25/10</t>
  </si>
  <si>
    <t>100003v1</t>
  </si>
  <si>
    <t>Nguyễn Thị Nhất</t>
  </si>
  <si>
    <t>Hiệu Mỹ Hòa</t>
  </si>
  <si>
    <t>16/12</t>
  </si>
  <si>
    <t>Dương Trọng Tiến</t>
  </si>
  <si>
    <t>Dương Trọng Tạo</t>
  </si>
  <si>
    <t>Hiệu Thuần Huy</t>
  </si>
  <si>
    <t>Hiệu Phúc Nhàn</t>
  </si>
  <si>
    <t>110008v1</t>
  </si>
  <si>
    <t>Nguyễn Thị Vòng</t>
  </si>
  <si>
    <t>Hiệu Hiền Chính</t>
  </si>
  <si>
    <t>25/05</t>
  </si>
  <si>
    <t>110008v2</t>
  </si>
  <si>
    <t>Nguyễn Thị Thai</t>
  </si>
  <si>
    <t>Hiệu Mỹ Như</t>
  </si>
  <si>
    <t>Hiệu Thuần An</t>
  </si>
  <si>
    <t>160020v1</t>
  </si>
  <si>
    <t>Nguyễn Thị Hương</t>
  </si>
  <si>
    <t>Quê Sài Sơn, Quốc Oai</t>
  </si>
  <si>
    <t>Quê Yên Sơn, Quốc Oai</t>
  </si>
  <si>
    <t>Doãn Thị Chúc</t>
  </si>
  <si>
    <t>Quê Hòa Thạch, Quốc Oai</t>
  </si>
  <si>
    <t>Nguyễn Thị Minh</t>
  </si>
  <si>
    <t>Phan Thị Yến</t>
  </si>
  <si>
    <t>Trần Thị Hoài</t>
  </si>
  <si>
    <t>Nguyễn Thị Phượng</t>
  </si>
  <si>
    <t>Đã ly hôn</t>
  </si>
  <si>
    <t>Võ Thị Thanh</t>
  </si>
  <si>
    <t>Quê Thạch Thán, Quốc Oai</t>
  </si>
  <si>
    <t>Quê Đồng Quang, Quốc Oai</t>
  </si>
  <si>
    <t>Quê Kiến Xương, Thái Bình</t>
  </si>
  <si>
    <t>Quê Phượng Cách, Quốc Oai</t>
  </si>
  <si>
    <t>150003g1</t>
  </si>
  <si>
    <t>Dương Thị Mai</t>
  </si>
  <si>
    <t>Dương Thị Anh</t>
  </si>
  <si>
    <t>150003g2</t>
  </si>
  <si>
    <t>Dương Thị Loan</t>
  </si>
  <si>
    <t>150004g1</t>
  </si>
  <si>
    <t>150005g1</t>
  </si>
  <si>
    <t>Dương Thị Định</t>
  </si>
  <si>
    <t>Dương Danh Luân</t>
  </si>
  <si>
    <t>150006g1</t>
  </si>
  <si>
    <t>Dương Thị Thuận</t>
  </si>
  <si>
    <t>Dương Thị Hằng</t>
  </si>
  <si>
    <t>150006g2</t>
  </si>
  <si>
    <t>Dương Thị Thoa</t>
  </si>
  <si>
    <t>Dương Thị Trang</t>
  </si>
  <si>
    <t>Dương Thị Thắm</t>
  </si>
  <si>
    <t>150007g1</t>
  </si>
  <si>
    <t>150007g2</t>
  </si>
  <si>
    <t>150007g3</t>
  </si>
  <si>
    <t>Dương Danh Tuyền</t>
  </si>
  <si>
    <t>150009g1</t>
  </si>
  <si>
    <t>Dương Thị Trâm</t>
  </si>
  <si>
    <t>Dương Thị Hải Yến</t>
  </si>
  <si>
    <t>150011g1</t>
  </si>
  <si>
    <t>150012g1</t>
  </si>
  <si>
    <t>150013g1</t>
  </si>
  <si>
    <t>Dương Thị Hương</t>
  </si>
  <si>
    <t>150015g1</t>
  </si>
  <si>
    <t>Dương Thị Dần</t>
  </si>
  <si>
    <t>Dương Thị Nheo</t>
  </si>
  <si>
    <t>150015g2</t>
  </si>
  <si>
    <t>Tên thật là Thanh</t>
  </si>
  <si>
    <t>Dương Thị Bé</t>
  </si>
  <si>
    <t>150015g3</t>
  </si>
  <si>
    <t>Dương Thị Tý</t>
  </si>
  <si>
    <t>150015g4</t>
  </si>
  <si>
    <t>Dương Thị Thành</t>
  </si>
  <si>
    <t>150016g1</t>
  </si>
  <si>
    <t>Dương Thị Lâm</t>
  </si>
  <si>
    <t>150016g2</t>
  </si>
  <si>
    <t>150016g3</t>
  </si>
  <si>
    <t>Dương Thị Liên</t>
  </si>
  <si>
    <t>Dương Thị Hiền</t>
  </si>
  <si>
    <t>150017g1</t>
  </si>
  <si>
    <t>Dương Thị Sen</t>
  </si>
  <si>
    <t>Dương Thị Tuyến</t>
  </si>
  <si>
    <t>Dương Thị Ánh</t>
  </si>
  <si>
    <t>150020g1</t>
  </si>
  <si>
    <t>150020g2</t>
  </si>
  <si>
    <t>150020g3</t>
  </si>
  <si>
    <t>Dương Thị Linh</t>
  </si>
  <si>
    <t>150021g1</t>
  </si>
  <si>
    <t>Dương Thị Minh</t>
  </si>
  <si>
    <t>Dương Thị Cúc</t>
  </si>
  <si>
    <t>Dương Thị Vân</t>
  </si>
  <si>
    <t>150021g2</t>
  </si>
  <si>
    <t>150021g3</t>
  </si>
  <si>
    <t>150021g4</t>
  </si>
  <si>
    <t>150021g5</t>
  </si>
  <si>
    <t>150021g6</t>
  </si>
  <si>
    <t>Dương Thị Thanh</t>
  </si>
  <si>
    <t>150022g1</t>
  </si>
  <si>
    <t>150022g2</t>
  </si>
  <si>
    <t>Dương Thị Yến</t>
  </si>
  <si>
    <t>Dương Thị Hải</t>
  </si>
  <si>
    <t>Dương Thị Hà</t>
  </si>
  <si>
    <t>150022g3</t>
  </si>
  <si>
    <t>150022g4</t>
  </si>
  <si>
    <t>150022g5</t>
  </si>
  <si>
    <t>150023g1</t>
  </si>
  <si>
    <t>Dương Thị Hạnh</t>
  </si>
  <si>
    <t>Dương Thị Hòa</t>
  </si>
  <si>
    <t>150024g1</t>
  </si>
  <si>
    <t>150024g2</t>
  </si>
  <si>
    <t>Võ Thị Liên</t>
  </si>
  <si>
    <t>160006v1</t>
  </si>
  <si>
    <t>Dương Thị Khánh Ly</t>
  </si>
  <si>
    <t>Dương Thị Khánh Linh</t>
  </si>
  <si>
    <t>160006g1</t>
  </si>
  <si>
    <t>160006g2</t>
  </si>
  <si>
    <t>Võ Thị Hạnh</t>
  </si>
  <si>
    <t>Dương Mạnh Phúc</t>
  </si>
  <si>
    <t>Dương Thị Trà Ly</t>
  </si>
  <si>
    <t>160007v1</t>
  </si>
  <si>
    <t>160007g1</t>
  </si>
  <si>
    <t>160007g2</t>
  </si>
  <si>
    <t>Lại Thị Khuyên</t>
  </si>
  <si>
    <t>160008v1</t>
  </si>
  <si>
    <t>Dương Danh Vũ</t>
  </si>
  <si>
    <t>Dương Danh Bảo</t>
  </si>
  <si>
    <t>Dương Thị ??</t>
  </si>
  <si>
    <t>160008g1</t>
  </si>
  <si>
    <t>Tạ Thị Hiền</t>
  </si>
  <si>
    <t>160009v1</t>
  </si>
  <si>
    <t>Dương Thị An Nhiên</t>
  </si>
  <si>
    <t>Nguyễn Ngọc Anh</t>
  </si>
  <si>
    <t>160010v1</t>
  </si>
  <si>
    <t>Dương Thị Nhã</t>
  </si>
  <si>
    <t>Dương Hồng Thắm</t>
  </si>
  <si>
    <t>Theo mẹ</t>
  </si>
  <si>
    <t>160010g1</t>
  </si>
  <si>
    <t>Nguyễn Thu Hằng</t>
  </si>
  <si>
    <t>160011v1</t>
  </si>
  <si>
    <t>160011v2</t>
  </si>
  <si>
    <t>160011g1</t>
  </si>
  <si>
    <t>160011g2</t>
  </si>
  <si>
    <t>Dương Thành Đăng Khoa</t>
  </si>
  <si>
    <t>Dương Thành Công</t>
  </si>
  <si>
    <t>Đôn Thị Hà</t>
  </si>
  <si>
    <t>160015v1</t>
  </si>
  <si>
    <t>Dương Thị Thu Hương</t>
  </si>
  <si>
    <t>Dương Danh Tùng</t>
  </si>
  <si>
    <t>Dương Thị Tường Vi</t>
  </si>
  <si>
    <t>160015g1</t>
  </si>
  <si>
    <t>160015g2</t>
  </si>
  <si>
    <t>Nguyễn Thị Tuyến</t>
  </si>
  <si>
    <t>160016v1</t>
  </si>
  <si>
    <t>Dương Danh Tài</t>
  </si>
  <si>
    <t>Dương Thị Kim Ngân</t>
  </si>
  <si>
    <t>160016g1</t>
  </si>
  <si>
    <t>Nguyễn Thị Cam</t>
  </si>
  <si>
    <t>Dương Danh Phong</t>
  </si>
  <si>
    <t>Dương Thị Tuyết Linh</t>
  </si>
  <si>
    <t>160017v1</t>
  </si>
  <si>
    <t>160017g1</t>
  </si>
  <si>
    <t>Dương Thị Hồng</t>
  </si>
  <si>
    <t>Dương Thị Huyên</t>
  </si>
  <si>
    <t>160018g1</t>
  </si>
  <si>
    <t>160018g2</t>
  </si>
  <si>
    <t>160018g3</t>
  </si>
  <si>
    <t>Dương Thị Thúy</t>
  </si>
  <si>
    <t>Dương Thị Thơm</t>
  </si>
  <si>
    <t>160019g1</t>
  </si>
  <si>
    <t>160019g2</t>
  </si>
  <si>
    <t>160019g3</t>
  </si>
  <si>
    <t>Dương Thị Ngọc</t>
  </si>
  <si>
    <t>Dương Thị Ly</t>
  </si>
  <si>
    <t>160020g1</t>
  </si>
  <si>
    <t>160020g2</t>
  </si>
  <si>
    <t>160021g1</t>
  </si>
  <si>
    <t>Đỗ Thị Thơ</t>
  </si>
  <si>
    <t>Nguyễn Thị Sinh</t>
  </si>
  <si>
    <t>160022v1</t>
  </si>
  <si>
    <t>Dương Danh Tiến</t>
  </si>
  <si>
    <t>Nguyễn Thị Thúy</t>
  </si>
  <si>
    <t>160024v1</t>
  </si>
  <si>
    <t>Đôn Thị Hiền</t>
  </si>
  <si>
    <t>160023v1</t>
  </si>
  <si>
    <t>Dương Thị Huế</t>
  </si>
  <si>
    <t>Dương Danh Hưởng</t>
  </si>
  <si>
    <t>160023g1</t>
  </si>
  <si>
    <t>160023g2</t>
  </si>
  <si>
    <t>Dương Thị Diệp</t>
  </si>
  <si>
    <t>Dương Danh Khải</t>
  </si>
  <si>
    <t>160024g1</t>
  </si>
  <si>
    <t>Thạch Thất</t>
  </si>
  <si>
    <t>Dương Danh Chiến</t>
  </si>
  <si>
    <t>Dương Thị Nga</t>
  </si>
  <si>
    <t>160025g1</t>
  </si>
  <si>
    <t>Trần Thị Tuyết</t>
  </si>
  <si>
    <t>160027g1</t>
  </si>
  <si>
    <t>160028v1</t>
  </si>
  <si>
    <t>Nguyễn Thị Cúc</t>
  </si>
  <si>
    <t>Dương Thị Thương</t>
  </si>
  <si>
    <t>Dương Danh Trung</t>
  </si>
  <si>
    <t>160028g1</t>
  </si>
  <si>
    <t>Dương Thị Huê</t>
  </si>
  <si>
    <t>160031g1</t>
  </si>
  <si>
    <t>160031g2</t>
  </si>
  <si>
    <t>160031g3</t>
  </si>
  <si>
    <t>160032v1</t>
  </si>
  <si>
    <t>Dương Thị Thùy Chi</t>
  </si>
  <si>
    <t>160032g1</t>
  </si>
  <si>
    <t>160033v1</t>
  </si>
  <si>
    <t>Nguyễn Thị Thái</t>
  </si>
  <si>
    <t>Dương Danh Đạt</t>
  </si>
  <si>
    <t>160042v1</t>
  </si>
  <si>
    <t>Phạm Thị Lam</t>
  </si>
  <si>
    <t>Dương Danh Gia Bảo</t>
  </si>
  <si>
    <t>Dương Mỹ Gia Hân</t>
  </si>
  <si>
    <t>160042g1</t>
  </si>
  <si>
    <t>Nguyễn Thị Huyền</t>
  </si>
  <si>
    <t>160034v1</t>
  </si>
  <si>
    <t>Dương Danh Cương</t>
  </si>
  <si>
    <t>Dương Thị Khánh Huyền</t>
  </si>
  <si>
    <t>160034g1</t>
  </si>
  <si>
    <t>Nguyễn Thị Hoa</t>
  </si>
  <si>
    <t>160035v1</t>
  </si>
  <si>
    <t>Dương Danh Thái Hòa</t>
  </si>
  <si>
    <t>160035g1</t>
  </si>
  <si>
    <t>Mai Thị Trang</t>
  </si>
  <si>
    <t>Dương Danh Hoàng</t>
  </si>
  <si>
    <t>Dương Đình Thịnh</t>
  </si>
  <si>
    <t>160036v1</t>
  </si>
  <si>
    <t>Trần Thị Hồng Liễu</t>
  </si>
  <si>
    <t>160037v1</t>
  </si>
  <si>
    <t>Dương Thị Bích Phương</t>
  </si>
  <si>
    <t>Dương Thị Hồng Nhung</t>
  </si>
  <si>
    <t>160037g1</t>
  </si>
  <si>
    <t>160037g2</t>
  </si>
  <si>
    <t>Dương Thị Phương</t>
  </si>
  <si>
    <t>160038g1</t>
  </si>
  <si>
    <t>Dương Thị Vân Anh</t>
  </si>
  <si>
    <t>Dương Thị Kiều Trinh</t>
  </si>
  <si>
    <t>160039g1</t>
  </si>
  <si>
    <t>160039g2</t>
  </si>
  <si>
    <t>160039g3</t>
  </si>
  <si>
    <t>170029v1</t>
  </si>
  <si>
    <t>Lê Thị Lương</t>
  </si>
  <si>
    <t>Dương Danh Toàn</t>
  </si>
  <si>
    <t>170029g1</t>
  </si>
  <si>
    <t>170032v1</t>
  </si>
  <si>
    <t>Kiều Thị Xuân</t>
  </si>
  <si>
    <t>170032g1</t>
  </si>
  <si>
    <t>170034v1</t>
  </si>
  <si>
    <t>Đặng Thị Thúy Hằng</t>
  </si>
  <si>
    <t>Dương Danh Thái Bảo</t>
  </si>
  <si>
    <t>Dương Danh Bảo Khánh</t>
  </si>
  <si>
    <t>Nguyễn Thị Hạnh</t>
  </si>
  <si>
    <t>170035v1</t>
  </si>
  <si>
    <t>Dương Thị Huyền Trang</t>
  </si>
  <si>
    <t>170035g1</t>
  </si>
  <si>
    <t>Lại Thị Hải</t>
  </si>
  <si>
    <t>Dương Thị Hải Anh</t>
  </si>
  <si>
    <t>Dương Thị Thúy Ngân</t>
  </si>
  <si>
    <t>Dương Danh Bảo Nam</t>
  </si>
  <si>
    <t>170012v1</t>
  </si>
  <si>
    <t>170012g1</t>
  </si>
  <si>
    <t>170012g2</t>
  </si>
  <si>
    <t>170013v1</t>
  </si>
  <si>
    <t>Vũ Thị Hồng</t>
  </si>
  <si>
    <t>Dương Danh Khang</t>
  </si>
  <si>
    <t>Dương Vũ Minh Khuê</t>
  </si>
  <si>
    <t>170013g1</t>
  </si>
  <si>
    <t>170048v1</t>
  </si>
  <si>
    <t>Trần Thị Hải</t>
  </si>
  <si>
    <t>Dương Danh Phát</t>
  </si>
  <si>
    <t>Dương Danh Hiếu</t>
  </si>
  <si>
    <t>170007v1</t>
  </si>
  <si>
    <t>Vũ Thị Thùy Linh</t>
  </si>
  <si>
    <t>Dương Danh Khoa</t>
  </si>
  <si>
    <t>Dương Danh Khiêm</t>
  </si>
  <si>
    <t>Dương Thị Quỳnh</t>
  </si>
  <si>
    <t>170007g1</t>
  </si>
  <si>
    <t>170027v1</t>
  </si>
  <si>
    <t>Nguyễn Thị Bích Loan</t>
  </si>
  <si>
    <t>Dương Danh Nghĩa</t>
  </si>
  <si>
    <t>170027g1</t>
  </si>
  <si>
    <t>170006v1</t>
  </si>
  <si>
    <t>Nguyễn Thị Mong</t>
  </si>
  <si>
    <t>Dương Danh Kiệt</t>
  </si>
  <si>
    <t>170006g1</t>
  </si>
  <si>
    <t>170036v1</t>
  </si>
  <si>
    <t>Nguyễn Thị Dậu</t>
  </si>
  <si>
    <t>Dương Bảo Ngọc</t>
  </si>
  <si>
    <t>170043v1</t>
  </si>
  <si>
    <t>Đinh Thị Hoài Thương</t>
  </si>
  <si>
    <t>Dương Danh Hải Nam</t>
  </si>
  <si>
    <t>170033v1</t>
  </si>
  <si>
    <t>Bùi Thị Hường</t>
  </si>
  <si>
    <t>Dương Thị Quỳnh Anh</t>
  </si>
  <si>
    <t>170033g1</t>
  </si>
  <si>
    <t>170028v1</t>
  </si>
  <si>
    <t>Quách Thị Thảo</t>
  </si>
  <si>
    <t>Dương Dung Nhi</t>
  </si>
  <si>
    <t>170028g1</t>
  </si>
  <si>
    <t>140014v1</t>
  </si>
  <si>
    <t>Chưa rõ cụ nào sinh ra???, có trùng với cụ Trọng Phong không?
Hiệu Chất Thực</t>
  </si>
  <si>
    <t>160013v1</t>
  </si>
  <si>
    <t>Dương Danh Đăng Khôi</t>
  </si>
  <si>
    <t>Dương Chính Mạnh</t>
  </si>
  <si>
    <t>Thủy tổ họ Dương, Quốc Oai</t>
  </si>
  <si>
    <t>Cửa Trại</t>
  </si>
  <si>
    <t>Dương Chính Nghĩa</t>
  </si>
  <si>
    <t>Hiệu Phúc Hậu</t>
  </si>
  <si>
    <t>Dương Đức Hậu</t>
  </si>
  <si>
    <t>Dương Phúc Hiền</t>
  </si>
  <si>
    <t>Sinh 4 nam, 1 nữ</t>
  </si>
  <si>
    <t>40001g1</t>
  </si>
  <si>
    <t>Dương Thị Xuân Dung</t>
  </si>
  <si>
    <t>11/11</t>
  </si>
  <si>
    <t>Đồng Cốc</t>
  </si>
  <si>
    <t>Dương Tảo Đạt</t>
  </si>
  <si>
    <t>Cô tổ. Xuân Dung công chúa. 
Ông Chính thờ tự</t>
  </si>
  <si>
    <t>Khởi tổ Ngành 1</t>
  </si>
  <si>
    <t>Khởi tổ Ngành 2</t>
  </si>
  <si>
    <t>Dương Phúc Năng (N1)</t>
  </si>
  <si>
    <t>Dương Phúc Thịnh (N2)</t>
  </si>
  <si>
    <t>Dương Vĩnh Trí (N3)</t>
  </si>
  <si>
    <t>15/05</t>
  </si>
  <si>
    <t>09/01</t>
  </si>
  <si>
    <t>16/01</t>
  </si>
  <si>
    <t>50003v1</t>
  </si>
  <si>
    <t>Đỗ Thị Từ Tại</t>
  </si>
  <si>
    <t>Hiệu Từ Tại</t>
  </si>
  <si>
    <t>21/11</t>
  </si>
  <si>
    <t>Dương Tiến Tài</t>
  </si>
  <si>
    <t>Dương Pháp Cảnh</t>
  </si>
  <si>
    <t>Dương Tiến Bàng</t>
  </si>
  <si>
    <t>Dương Tiến Đạo</t>
  </si>
  <si>
    <t>Tòng thượng</t>
  </si>
  <si>
    <t>18/10</t>
  </si>
  <si>
    <t>60002v1</t>
  </si>
  <si>
    <t>Hiệu Từ Tuyên</t>
  </si>
  <si>
    <t>27/02</t>
  </si>
  <si>
    <t>Dương Pháp Quý</t>
  </si>
  <si>
    <t>70001v1</t>
  </si>
  <si>
    <t>Nguyễn Thị Diệu Minh</t>
  </si>
  <si>
    <t>Hiệu Diệu Minh</t>
  </si>
  <si>
    <t>18/03</t>
  </si>
  <si>
    <t>Hiệu Hiền Lộc</t>
  </si>
  <si>
    <t>08/01</t>
  </si>
  <si>
    <t>80002v1</t>
  </si>
  <si>
    <t>Nguyễn Thị Từ Sơn</t>
  </si>
  <si>
    <t>Hiệu Từ Sơn</t>
  </si>
  <si>
    <t>05/03</t>
  </si>
  <si>
    <t>Phái 1 ngành 3</t>
  </si>
  <si>
    <t>Dương Huệ Phương (P1N3)</t>
  </si>
  <si>
    <t>Hiệu Phúc Kiêm</t>
  </si>
  <si>
    <t>04/12</t>
  </si>
  <si>
    <t>60003v1</t>
  </si>
  <si>
    <t>Nguyễn Thị Từ Tâm</t>
  </si>
  <si>
    <t>Hiệu Từ Tâm</t>
  </si>
  <si>
    <t>08/12</t>
  </si>
  <si>
    <t>Dương Tiến Hiền</t>
  </si>
  <si>
    <t>Hiệu Phúc Tăng</t>
  </si>
  <si>
    <t>70002v1</t>
  </si>
  <si>
    <t>Hiệu Từ Thuận</t>
  </si>
  <si>
    <t>Dương Công Trạc (P2N3)</t>
  </si>
  <si>
    <t>Hiệu Đông Thực</t>
  </si>
  <si>
    <t>02/11</t>
  </si>
  <si>
    <t>Phái 2 ngành 3</t>
  </si>
  <si>
    <t>80003v1</t>
  </si>
  <si>
    <t>Nguyễn Thị Từ Ninh</t>
  </si>
  <si>
    <t>Hiệu Từ Ninh</t>
  </si>
  <si>
    <t>Dương Tiến Thiện (P4N3)</t>
  </si>
  <si>
    <t>Hiệu Phúc Dung</t>
  </si>
  <si>
    <t>10/05</t>
  </si>
  <si>
    <t>70003v1</t>
  </si>
  <si>
    <t>Nguyễn Thị Từ Chất</t>
  </si>
  <si>
    <t>Phái 4 ngành 3 (tiểu phái)</t>
  </si>
  <si>
    <t>Ngành 1</t>
  </si>
  <si>
    <t>Ngành 2</t>
  </si>
  <si>
    <t>Dương Danh Qúy</t>
  </si>
  <si>
    <t>Hiệu Đôn Mẫn. Cụ tổ Phái 3 - Ngành 3
- Ông Chính thờ phụng</t>
  </si>
  <si>
    <t>Lý Thị Thản</t>
  </si>
  <si>
    <t>20/06</t>
  </si>
  <si>
    <t>Biếu</t>
  </si>
  <si>
    <t>11/07</t>
  </si>
  <si>
    <t>Nguyễn Thị Diệu</t>
  </si>
  <si>
    <t>Miếu</t>
  </si>
  <si>
    <t>Dương Trọng Khương</t>
  </si>
  <si>
    <t>15/11</t>
  </si>
  <si>
    <t>10/03</t>
  </si>
  <si>
    <t>Chồng: Nguyễn Văn Thật - Ngô Sài</t>
  </si>
  <si>
    <t>Chồng: Nguyễn Nho Long - Sài Sơn</t>
  </si>
  <si>
    <t>Đào Thị Nhớn</t>
  </si>
  <si>
    <t>Nguyễn Thị Ba</t>
  </si>
  <si>
    <t>Dương Hà Phương</t>
  </si>
  <si>
    <t>18/11</t>
  </si>
  <si>
    <t>Dương Thành Thụ</t>
  </si>
  <si>
    <t>Dương Phú Khánh</t>
  </si>
  <si>
    <t>Dương Nguyễn Danh Nhân</t>
  </si>
  <si>
    <t>Dương Danh An Phát</t>
  </si>
  <si>
    <t>Khu vực</t>
  </si>
  <si>
    <t>Trại</t>
  </si>
  <si>
    <t>Khác</t>
  </si>
  <si>
    <t>Bồ Cóc</t>
  </si>
  <si>
    <t>Dương Trọng Thự</t>
  </si>
  <si>
    <t>Dương Thị Bạch</t>
  </si>
  <si>
    <t>140011g1</t>
  </si>
  <si>
    <t>Mả Bính</t>
  </si>
  <si>
    <t>25/03</t>
  </si>
  <si>
    <t>Mả Mái</t>
  </si>
  <si>
    <t>Tổ cậu</t>
  </si>
  <si>
    <t>Vũng</t>
  </si>
  <si>
    <t>Danh Danh Đen</t>
  </si>
  <si>
    <t>12/11</t>
  </si>
  <si>
    <t>04/02</t>
  </si>
  <si>
    <t>Khánh Tân</t>
  </si>
  <si>
    <t>14/05</t>
  </si>
  <si>
    <t>Hiệu Phúc Toán</t>
  </si>
  <si>
    <t>14/11</t>
  </si>
  <si>
    <t>Gò Nghĩa Chủng</t>
  </si>
  <si>
    <t>27/12</t>
  </si>
  <si>
    <t>Hiệu Từ Sương</t>
  </si>
  <si>
    <t>Gò Mỏ Phượng</t>
  </si>
  <si>
    <t>Hiệu Thanh Tâm</t>
  </si>
  <si>
    <t>Hiệu Cương Trực</t>
  </si>
  <si>
    <t>03/11</t>
  </si>
  <si>
    <t>23/03</t>
  </si>
  <si>
    <t>Hiệu Từ An</t>
  </si>
  <si>
    <t>Dương Văn Đàm</t>
  </si>
  <si>
    <t>Khởi tổ Ngành 3
Hiệu Phúc Minh</t>
  </si>
  <si>
    <t>Tọa X</t>
  </si>
  <si>
    <t>Tọa Y</t>
  </si>
  <si>
    <t>160003g1</t>
  </si>
  <si>
    <t>Dương Gia Hân</t>
  </si>
  <si>
    <t>Dương Nguyễn Anh Thư</t>
  </si>
  <si>
    <t>Dương Trọng Huynh</t>
  </si>
  <si>
    <t>Dương Văn Mạnh</t>
  </si>
  <si>
    <t>Dương Gia Bảo</t>
  </si>
  <si>
    <t>Dương Mạnh Đức</t>
  </si>
  <si>
    <t>ID me</t>
  </si>
  <si>
    <t>10001v1</t>
  </si>
  <si>
    <t>Cụ tổ bà đời 1</t>
  </si>
  <si>
    <t>20001v1</t>
  </si>
  <si>
    <t>Cụ tổ bà đời 2</t>
  </si>
  <si>
    <t>30001v1</t>
  </si>
  <si>
    <t>Cụ tổ bà đời 3</t>
  </si>
  <si>
    <t>40001v1</t>
  </si>
  <si>
    <t>Cụ tổ bà đời 4</t>
  </si>
  <si>
    <t>50001v1</t>
  </si>
  <si>
    <t>Cụ tổ bà đời 1 - Ngành 1</t>
  </si>
  <si>
    <t>Cụ tổ bà đời 1 - Ngành 2</t>
  </si>
  <si>
    <t>50002v1</t>
  </si>
  <si>
    <t>Đếm</t>
  </si>
  <si>
    <t>60001v1</t>
  </si>
  <si>
    <t>Chưa rõ</t>
  </si>
  <si>
    <t>60004v1</t>
  </si>
  <si>
    <t>Phái 2</t>
  </si>
  <si>
    <t>Phái 4</t>
  </si>
  <si>
    <t>Phái 1</t>
  </si>
  <si>
    <t>110002v1</t>
  </si>
  <si>
    <t>110004v1</t>
  </si>
  <si>
    <t>110005v1</t>
  </si>
  <si>
    <t>120003v1</t>
  </si>
  <si>
    <t>120006v1</t>
  </si>
  <si>
    <t>130009v1</t>
  </si>
  <si>
    <t>140006v1</t>
  </si>
  <si>
    <t>140009v1</t>
  </si>
  <si>
    <t>Ông Trà</t>
  </si>
  <si>
    <t>Liệt sỹ</t>
  </si>
  <si>
    <t>Số đinh</t>
  </si>
  <si>
    <t>110007v1</t>
  </si>
  <si>
    <t>Không có con</t>
  </si>
  <si>
    <t>Chưa có con trai</t>
  </si>
  <si>
    <t>Thứ tự vợ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</si>
</sst>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60"/>
  <sheetViews>
    <sheetView tabSelected="1" zoomScaleNormal="100" workbookViewId="0">
      <pane ySplit="1" topLeftCell="A24" activePane="bottomLeft" state="frozen"/>
      <selection pane="bottomLeft" activeCell="E28" sqref="E28:E128"/>
    </sheetView>
  </sheetViews>
  <sheetFormatPr defaultRowHeight="14.4" x14ac:dyDescent="0.3"/>
  <cols>
    <col min="1" max="1" width="11.88671875" style="1" customWidth="1"/>
    <col min="2" max="3" width="6.33203125" style="1" customWidth="1"/>
    <col min="4" max="4" width="22" customWidth="1"/>
    <col min="5" max="6" width="10.88671875" style="1" customWidth="1"/>
    <col min="7" max="7" width="23.6640625" style="8" customWidth="1"/>
    <col min="8" max="8" width="8.5546875" style="9" customWidth="1"/>
    <col min="9" max="9" width="21.44140625" style="10" customWidth="1"/>
    <col min="10" max="11" width="11.44140625" style="1" customWidth="1"/>
    <col min="12" max="12" width="9.109375" style="1"/>
    <col min="13" max="13" width="13.44140625" style="8" customWidth="1"/>
    <col min="14" max="14" width="11.109375" style="5" customWidth="1"/>
    <col min="15" max="15" width="11.109375" style="4" customWidth="1"/>
    <col min="16" max="16" width="11.109375" style="1" customWidth="1"/>
  </cols>
  <sheetData>
    <row r="1" spans="1:16" x14ac:dyDescent="0.3">
      <c r="A1" s="2" t="s">
        <v>0</v>
      </c>
      <c r="B1" s="2" t="s">
        <v>49</v>
      </c>
      <c r="C1" s="2" t="s">
        <v>50</v>
      </c>
      <c r="D1" s="4" t="s">
        <v>1</v>
      </c>
      <c r="E1" s="2" t="s">
        <v>2</v>
      </c>
      <c r="F1" s="2" t="s">
        <v>3</v>
      </c>
      <c r="G1" s="5" t="s">
        <v>4</v>
      </c>
      <c r="H1" s="6" t="s">
        <v>59</v>
      </c>
      <c r="I1" s="7" t="s">
        <v>60</v>
      </c>
      <c r="J1" s="2" t="s">
        <v>5</v>
      </c>
      <c r="K1" s="2" t="s">
        <v>814</v>
      </c>
      <c r="L1" s="2" t="s">
        <v>27</v>
      </c>
      <c r="M1" s="5" t="s">
        <v>775</v>
      </c>
      <c r="N1" s="5" t="s">
        <v>805</v>
      </c>
      <c r="O1" s="4" t="s">
        <v>806</v>
      </c>
      <c r="P1" s="2" t="s">
        <v>848</v>
      </c>
    </row>
    <row r="2" spans="1:16" x14ac:dyDescent="0.3">
      <c r="A2" s="1">
        <v>10001</v>
      </c>
      <c r="B2" s="1">
        <v>1</v>
      </c>
      <c r="C2" s="1" t="s">
        <v>51</v>
      </c>
      <c r="D2" t="s">
        <v>681</v>
      </c>
      <c r="E2" s="1" t="s">
        <v>58</v>
      </c>
      <c r="F2" s="1" t="s">
        <v>58</v>
      </c>
      <c r="G2" s="8" t="s">
        <v>682</v>
      </c>
      <c r="H2" s="9" t="s">
        <v>58</v>
      </c>
      <c r="I2" s="10" t="s">
        <v>683</v>
      </c>
      <c r="M2" s="8" t="s">
        <v>776</v>
      </c>
      <c r="P2" s="4"/>
    </row>
    <row r="3" spans="1:16" x14ac:dyDescent="0.3">
      <c r="A3" s="1" t="s">
        <v>815</v>
      </c>
      <c r="B3" s="1">
        <v>1</v>
      </c>
      <c r="D3" t="s">
        <v>816</v>
      </c>
      <c r="L3" s="1">
        <v>10001</v>
      </c>
      <c r="P3" s="1">
        <v>1</v>
      </c>
    </row>
    <row r="4" spans="1:16" x14ac:dyDescent="0.3">
      <c r="A4" s="1">
        <v>20001</v>
      </c>
      <c r="B4" s="1">
        <v>2</v>
      </c>
      <c r="C4" s="1" t="s">
        <v>51</v>
      </c>
      <c r="D4" t="s">
        <v>684</v>
      </c>
      <c r="E4" s="1" t="s">
        <v>58</v>
      </c>
      <c r="F4" s="1" t="s">
        <v>58</v>
      </c>
      <c r="G4" s="8" t="s">
        <v>685</v>
      </c>
      <c r="H4" s="9" t="s">
        <v>58</v>
      </c>
      <c r="I4" s="10" t="s">
        <v>58</v>
      </c>
      <c r="J4" s="1">
        <v>10001</v>
      </c>
      <c r="K4" s="1" t="s">
        <v>815</v>
      </c>
      <c r="M4" s="8" t="s">
        <v>776</v>
      </c>
      <c r="P4" s="4"/>
    </row>
    <row r="5" spans="1:16" x14ac:dyDescent="0.3">
      <c r="A5" s="1" t="s">
        <v>817</v>
      </c>
      <c r="B5" s="1">
        <v>2</v>
      </c>
      <c r="D5" t="s">
        <v>818</v>
      </c>
      <c r="L5" s="1">
        <v>20001</v>
      </c>
      <c r="P5" s="1">
        <v>1</v>
      </c>
    </row>
    <row r="6" spans="1:16" x14ac:dyDescent="0.3">
      <c r="A6" s="1">
        <v>30001</v>
      </c>
      <c r="B6" s="1">
        <v>3</v>
      </c>
      <c r="C6" s="1" t="s">
        <v>51</v>
      </c>
      <c r="D6" t="s">
        <v>686</v>
      </c>
      <c r="E6" s="1" t="s">
        <v>58</v>
      </c>
      <c r="F6" s="1" t="s">
        <v>58</v>
      </c>
      <c r="H6" s="9" t="s">
        <v>58</v>
      </c>
      <c r="I6" s="10" t="s">
        <v>58</v>
      </c>
      <c r="J6" s="1">
        <v>20001</v>
      </c>
      <c r="K6" s="1" t="s">
        <v>817</v>
      </c>
      <c r="M6" s="8" t="s">
        <v>776</v>
      </c>
      <c r="P6" s="4"/>
    </row>
    <row r="7" spans="1:16" x14ac:dyDescent="0.3">
      <c r="A7" s="1" t="s">
        <v>819</v>
      </c>
      <c r="B7" s="1">
        <v>3</v>
      </c>
      <c r="D7" t="s">
        <v>820</v>
      </c>
      <c r="L7" s="1">
        <v>30001</v>
      </c>
      <c r="P7" s="1">
        <v>1</v>
      </c>
    </row>
    <row r="8" spans="1:16" x14ac:dyDescent="0.3">
      <c r="A8" s="1">
        <v>40001</v>
      </c>
      <c r="B8" s="1">
        <v>4</v>
      </c>
      <c r="C8" s="1" t="s">
        <v>51</v>
      </c>
      <c r="D8" t="s">
        <v>687</v>
      </c>
      <c r="E8" s="1" t="s">
        <v>58</v>
      </c>
      <c r="F8" s="1" t="s">
        <v>58</v>
      </c>
      <c r="G8" s="8" t="s">
        <v>688</v>
      </c>
      <c r="H8" s="9" t="s">
        <v>58</v>
      </c>
      <c r="I8" s="10" t="s">
        <v>58</v>
      </c>
      <c r="J8" s="1">
        <v>30001</v>
      </c>
      <c r="K8" s="1" t="s">
        <v>819</v>
      </c>
      <c r="M8" s="8" t="s">
        <v>776</v>
      </c>
      <c r="P8" s="4"/>
    </row>
    <row r="9" spans="1:16" x14ac:dyDescent="0.3">
      <c r="A9" s="1" t="s">
        <v>821</v>
      </c>
      <c r="B9" s="1">
        <v>4</v>
      </c>
      <c r="D9" t="s">
        <v>822</v>
      </c>
      <c r="L9" s="1">
        <v>40001</v>
      </c>
      <c r="P9" s="1">
        <v>1</v>
      </c>
    </row>
    <row r="10" spans="1:16" x14ac:dyDescent="0.3">
      <c r="A10" s="1">
        <v>50001</v>
      </c>
      <c r="B10" s="1">
        <v>5</v>
      </c>
      <c r="C10" s="1" t="s">
        <v>51</v>
      </c>
      <c r="D10" t="s">
        <v>697</v>
      </c>
      <c r="E10" s="1">
        <v>1</v>
      </c>
      <c r="F10" s="1" t="s">
        <v>58</v>
      </c>
      <c r="G10" s="8" t="s">
        <v>695</v>
      </c>
      <c r="H10" s="9" t="s">
        <v>701</v>
      </c>
      <c r="J10" s="1">
        <v>40001</v>
      </c>
      <c r="K10" s="1" t="s">
        <v>821</v>
      </c>
      <c r="M10" s="8" t="s">
        <v>62</v>
      </c>
      <c r="P10" s="4"/>
    </row>
    <row r="11" spans="1:16" x14ac:dyDescent="0.3">
      <c r="A11" s="1">
        <v>50002</v>
      </c>
      <c r="B11" s="1">
        <v>5</v>
      </c>
      <c r="C11" s="1" t="s">
        <v>51</v>
      </c>
      <c r="D11" t="s">
        <v>698</v>
      </c>
      <c r="E11" s="1">
        <v>2</v>
      </c>
      <c r="F11" s="1" t="s">
        <v>58</v>
      </c>
      <c r="G11" s="8" t="s">
        <v>696</v>
      </c>
      <c r="H11" s="9" t="s">
        <v>58</v>
      </c>
      <c r="I11" s="10" t="s">
        <v>58</v>
      </c>
      <c r="J11" s="1">
        <v>40001</v>
      </c>
      <c r="K11" s="1" t="s">
        <v>821</v>
      </c>
      <c r="M11" s="8" t="s">
        <v>777</v>
      </c>
      <c r="P11" s="4"/>
    </row>
    <row r="12" spans="1:16" ht="28.8" x14ac:dyDescent="0.3">
      <c r="A12" s="1">
        <v>50003</v>
      </c>
      <c r="B12" s="1">
        <v>5</v>
      </c>
      <c r="C12" s="1" t="s">
        <v>51</v>
      </c>
      <c r="D12" t="s">
        <v>699</v>
      </c>
      <c r="E12" s="1">
        <v>3</v>
      </c>
      <c r="F12" s="1" t="s">
        <v>58</v>
      </c>
      <c r="G12" s="11" t="s">
        <v>804</v>
      </c>
      <c r="H12" s="9" t="s">
        <v>702</v>
      </c>
      <c r="I12" s="10" t="s">
        <v>58</v>
      </c>
      <c r="J12" s="1">
        <v>40001</v>
      </c>
      <c r="K12" s="1" t="s">
        <v>821</v>
      </c>
      <c r="M12" s="8" t="s">
        <v>777</v>
      </c>
      <c r="P12" s="4"/>
    </row>
    <row r="13" spans="1:16" x14ac:dyDescent="0.3">
      <c r="A13" s="1">
        <v>50004</v>
      </c>
      <c r="B13" s="1">
        <v>5</v>
      </c>
      <c r="C13" s="1" t="s">
        <v>51</v>
      </c>
      <c r="D13" t="s">
        <v>693</v>
      </c>
      <c r="E13" s="1">
        <v>4</v>
      </c>
      <c r="F13" s="1" t="s">
        <v>58</v>
      </c>
      <c r="G13" s="8" t="s">
        <v>785</v>
      </c>
      <c r="H13" s="9" t="s">
        <v>700</v>
      </c>
      <c r="I13" s="10" t="s">
        <v>692</v>
      </c>
      <c r="J13" s="1">
        <v>40001</v>
      </c>
      <c r="K13" s="1" t="s">
        <v>821</v>
      </c>
      <c r="M13" s="8" t="s">
        <v>786</v>
      </c>
      <c r="P13" s="4"/>
    </row>
    <row r="14" spans="1:16" ht="43.2" x14ac:dyDescent="0.3">
      <c r="A14" s="1" t="s">
        <v>689</v>
      </c>
      <c r="B14" s="1">
        <v>5</v>
      </c>
      <c r="D14" t="s">
        <v>690</v>
      </c>
      <c r="E14" s="1" t="s">
        <v>58</v>
      </c>
      <c r="F14" s="1" t="s">
        <v>58</v>
      </c>
      <c r="G14" s="11" t="s">
        <v>694</v>
      </c>
      <c r="H14" s="9" t="s">
        <v>691</v>
      </c>
      <c r="I14" s="10" t="s">
        <v>692</v>
      </c>
      <c r="J14" s="1">
        <v>40001</v>
      </c>
      <c r="K14" s="1" t="s">
        <v>821</v>
      </c>
      <c r="M14" s="8" t="s">
        <v>786</v>
      </c>
      <c r="P14" s="4"/>
    </row>
    <row r="15" spans="1:16" x14ac:dyDescent="0.3">
      <c r="A15" s="1" t="s">
        <v>823</v>
      </c>
      <c r="B15" s="1">
        <v>5</v>
      </c>
      <c r="D15" t="s">
        <v>824</v>
      </c>
      <c r="L15" s="1">
        <v>50001</v>
      </c>
      <c r="P15" s="1">
        <v>1</v>
      </c>
    </row>
    <row r="16" spans="1:16" x14ac:dyDescent="0.3">
      <c r="A16" s="1" t="s">
        <v>826</v>
      </c>
      <c r="B16" s="1">
        <v>5</v>
      </c>
      <c r="D16" t="s">
        <v>825</v>
      </c>
      <c r="L16" s="1">
        <v>50002</v>
      </c>
      <c r="P16" s="1">
        <v>1</v>
      </c>
    </row>
    <row r="17" spans="1:16" x14ac:dyDescent="0.3">
      <c r="A17" s="1" t="s">
        <v>703</v>
      </c>
      <c r="B17" s="1">
        <v>5</v>
      </c>
      <c r="D17" t="s">
        <v>704</v>
      </c>
      <c r="G17" s="8" t="s">
        <v>705</v>
      </c>
      <c r="H17" s="9" t="s">
        <v>706</v>
      </c>
      <c r="L17" s="1">
        <v>50003</v>
      </c>
      <c r="M17" s="8" t="s">
        <v>777</v>
      </c>
      <c r="N17" s="8"/>
      <c r="O17"/>
      <c r="P17" s="1">
        <v>1</v>
      </c>
    </row>
    <row r="18" spans="1:16" x14ac:dyDescent="0.3">
      <c r="A18" s="1">
        <v>60005</v>
      </c>
      <c r="B18" s="1">
        <v>6</v>
      </c>
      <c r="C18" s="1" t="s">
        <v>51</v>
      </c>
      <c r="D18" t="s">
        <v>752</v>
      </c>
      <c r="J18" s="1">
        <v>50001</v>
      </c>
      <c r="K18" s="1" t="s">
        <v>823</v>
      </c>
      <c r="M18" s="8" t="s">
        <v>777</v>
      </c>
      <c r="N18" s="8"/>
      <c r="O18"/>
      <c r="P18"/>
    </row>
    <row r="19" spans="1:16" x14ac:dyDescent="0.3">
      <c r="A19" s="1">
        <v>60006</v>
      </c>
      <c r="B19" s="1">
        <v>6</v>
      </c>
      <c r="C19" s="1" t="s">
        <v>51</v>
      </c>
      <c r="D19" t="s">
        <v>753</v>
      </c>
      <c r="J19" s="1">
        <v>50002</v>
      </c>
      <c r="K19" s="1" t="s">
        <v>826</v>
      </c>
      <c r="M19" s="8" t="s">
        <v>777</v>
      </c>
      <c r="N19" s="8"/>
      <c r="O19"/>
      <c r="P19"/>
    </row>
    <row r="20" spans="1:16" x14ac:dyDescent="0.3">
      <c r="A20" s="1">
        <v>60001</v>
      </c>
      <c r="B20" s="1">
        <v>6</v>
      </c>
      <c r="C20" s="1" t="s">
        <v>51</v>
      </c>
      <c r="D20" t="s">
        <v>707</v>
      </c>
      <c r="E20" s="1">
        <v>1</v>
      </c>
      <c r="F20" s="1" t="s">
        <v>58</v>
      </c>
      <c r="G20" s="8" t="s">
        <v>711</v>
      </c>
      <c r="H20" s="9" t="s">
        <v>58</v>
      </c>
      <c r="I20" s="10" t="s">
        <v>58</v>
      </c>
      <c r="J20" s="1">
        <v>50003</v>
      </c>
      <c r="K20" s="1" t="s">
        <v>703</v>
      </c>
      <c r="M20" s="8" t="s">
        <v>777</v>
      </c>
      <c r="P20" s="4"/>
    </row>
    <row r="21" spans="1:16" x14ac:dyDescent="0.3">
      <c r="A21" s="1">
        <v>60002</v>
      </c>
      <c r="B21" s="1">
        <v>6</v>
      </c>
      <c r="C21" s="1" t="s">
        <v>51</v>
      </c>
      <c r="D21" t="s">
        <v>708</v>
      </c>
      <c r="E21" s="1">
        <v>2</v>
      </c>
      <c r="F21" s="1" t="s">
        <v>58</v>
      </c>
      <c r="H21" s="9" t="s">
        <v>712</v>
      </c>
      <c r="I21" s="10" t="s">
        <v>58</v>
      </c>
      <c r="J21" s="1">
        <v>50003</v>
      </c>
      <c r="K21" s="1" t="s">
        <v>703</v>
      </c>
      <c r="M21" s="8" t="s">
        <v>777</v>
      </c>
      <c r="P21" s="4"/>
    </row>
    <row r="22" spans="1:16" x14ac:dyDescent="0.3">
      <c r="A22" s="1">
        <v>60003</v>
      </c>
      <c r="B22" s="1">
        <v>6</v>
      </c>
      <c r="C22" s="1" t="s">
        <v>51</v>
      </c>
      <c r="D22" t="s">
        <v>709</v>
      </c>
      <c r="E22" s="1">
        <v>3</v>
      </c>
      <c r="F22" s="1" t="s">
        <v>58</v>
      </c>
      <c r="G22" s="8" t="s">
        <v>729</v>
      </c>
      <c r="H22" s="9" t="s">
        <v>730</v>
      </c>
      <c r="I22" s="10" t="s">
        <v>58</v>
      </c>
      <c r="J22" s="1">
        <v>50003</v>
      </c>
      <c r="K22" s="1" t="s">
        <v>703</v>
      </c>
      <c r="M22" s="8" t="s">
        <v>777</v>
      </c>
      <c r="P22" s="4"/>
    </row>
    <row r="23" spans="1:16" x14ac:dyDescent="0.3">
      <c r="A23" s="1">
        <v>60004</v>
      </c>
      <c r="B23" s="1">
        <v>6</v>
      </c>
      <c r="C23" s="1" t="s">
        <v>51</v>
      </c>
      <c r="D23" t="s">
        <v>710</v>
      </c>
      <c r="E23" s="1">
        <v>4</v>
      </c>
      <c r="F23" s="1" t="s">
        <v>58</v>
      </c>
      <c r="I23" s="10" t="s">
        <v>58</v>
      </c>
      <c r="J23" s="1">
        <v>50003</v>
      </c>
      <c r="K23" s="1" t="s">
        <v>703</v>
      </c>
      <c r="M23" s="8" t="s">
        <v>777</v>
      </c>
      <c r="P23" s="4"/>
    </row>
    <row r="24" spans="1:16" x14ac:dyDescent="0.3">
      <c r="A24" s="1" t="s">
        <v>828</v>
      </c>
      <c r="B24" s="1">
        <v>6</v>
      </c>
      <c r="D24" t="s">
        <v>829</v>
      </c>
      <c r="L24" s="1">
        <v>60001</v>
      </c>
      <c r="P24" s="1">
        <v>1</v>
      </c>
    </row>
    <row r="25" spans="1:16" x14ac:dyDescent="0.3">
      <c r="A25" s="1" t="s">
        <v>713</v>
      </c>
      <c r="B25" s="1">
        <v>6</v>
      </c>
      <c r="D25" t="s">
        <v>714</v>
      </c>
      <c r="E25" s="1" t="s">
        <v>58</v>
      </c>
      <c r="F25" s="1" t="s">
        <v>58</v>
      </c>
      <c r="G25" s="8" t="s">
        <v>714</v>
      </c>
      <c r="H25" s="9" t="s">
        <v>715</v>
      </c>
      <c r="I25" s="10" t="s">
        <v>58</v>
      </c>
      <c r="L25" s="1">
        <v>60002</v>
      </c>
      <c r="M25" s="8" t="s">
        <v>777</v>
      </c>
      <c r="P25" s="1">
        <v>1</v>
      </c>
    </row>
    <row r="26" spans="1:16" x14ac:dyDescent="0.3">
      <c r="A26" s="1" t="s">
        <v>731</v>
      </c>
      <c r="B26" s="1">
        <v>6</v>
      </c>
      <c r="D26" t="s">
        <v>732</v>
      </c>
      <c r="E26" s="1" t="s">
        <v>58</v>
      </c>
      <c r="F26" s="1" t="s">
        <v>58</v>
      </c>
      <c r="G26" s="8" t="s">
        <v>733</v>
      </c>
      <c r="H26" s="9" t="s">
        <v>734</v>
      </c>
      <c r="I26" s="10" t="s">
        <v>58</v>
      </c>
      <c r="L26" s="1">
        <v>60003</v>
      </c>
      <c r="M26" s="8" t="s">
        <v>777</v>
      </c>
      <c r="P26" s="1">
        <v>1</v>
      </c>
    </row>
    <row r="27" spans="1:16" x14ac:dyDescent="0.3">
      <c r="A27" s="1" t="s">
        <v>830</v>
      </c>
      <c r="B27" s="1">
        <v>6</v>
      </c>
      <c r="D27" t="s">
        <v>829</v>
      </c>
      <c r="L27" s="1">
        <v>60004</v>
      </c>
      <c r="P27" s="1">
        <v>1</v>
      </c>
    </row>
    <row r="28" spans="1:16" x14ac:dyDescent="0.3">
      <c r="A28" s="1">
        <v>70004</v>
      </c>
      <c r="B28" s="1">
        <v>7</v>
      </c>
      <c r="C28" s="1" t="s">
        <v>51</v>
      </c>
      <c r="D28" t="s">
        <v>829</v>
      </c>
      <c r="E28" s="1">
        <v>1</v>
      </c>
      <c r="J28" s="1">
        <v>60001</v>
      </c>
      <c r="K28" s="1" t="s">
        <v>828</v>
      </c>
      <c r="P28" s="4"/>
    </row>
    <row r="29" spans="1:16" x14ac:dyDescent="0.3">
      <c r="A29" s="1">
        <v>70001</v>
      </c>
      <c r="B29" s="1">
        <v>7</v>
      </c>
      <c r="C29" s="1" t="s">
        <v>51</v>
      </c>
      <c r="D29" t="s">
        <v>716</v>
      </c>
      <c r="E29" s="1" t="s">
        <v>58</v>
      </c>
      <c r="F29" s="1" t="s">
        <v>58</v>
      </c>
      <c r="H29" s="9" t="s">
        <v>58</v>
      </c>
      <c r="I29" s="10" t="s">
        <v>58</v>
      </c>
      <c r="J29" s="1">
        <v>60002</v>
      </c>
      <c r="K29" s="1" t="s">
        <v>713</v>
      </c>
      <c r="M29" s="8" t="s">
        <v>777</v>
      </c>
      <c r="P29" s="4"/>
    </row>
    <row r="30" spans="1:16" x14ac:dyDescent="0.3">
      <c r="A30" s="1">
        <v>70002</v>
      </c>
      <c r="B30" s="1">
        <v>7</v>
      </c>
      <c r="C30" s="1" t="s">
        <v>51</v>
      </c>
      <c r="D30" t="s">
        <v>735</v>
      </c>
      <c r="E30" s="1">
        <v>1</v>
      </c>
      <c r="F30" s="1" t="s">
        <v>58</v>
      </c>
      <c r="G30" s="8" t="s">
        <v>736</v>
      </c>
      <c r="H30" s="9" t="s">
        <v>257</v>
      </c>
      <c r="I30" s="10" t="s">
        <v>62</v>
      </c>
      <c r="J30" s="1">
        <v>60003</v>
      </c>
      <c r="K30" s="1" t="s">
        <v>731</v>
      </c>
      <c r="M30" s="10" t="s">
        <v>62</v>
      </c>
      <c r="N30" s="7"/>
      <c r="P30" s="4"/>
    </row>
    <row r="31" spans="1:16" x14ac:dyDescent="0.3">
      <c r="A31" s="1">
        <v>70003</v>
      </c>
      <c r="B31" s="1">
        <v>7</v>
      </c>
      <c r="C31" s="1" t="s">
        <v>51</v>
      </c>
      <c r="D31" t="s">
        <v>746</v>
      </c>
      <c r="E31" s="1">
        <v>2</v>
      </c>
      <c r="F31" s="1" t="s">
        <v>58</v>
      </c>
      <c r="G31" s="8" t="s">
        <v>747</v>
      </c>
      <c r="H31" s="9" t="s">
        <v>748</v>
      </c>
      <c r="I31" s="10" t="s">
        <v>58</v>
      </c>
      <c r="J31" s="1">
        <v>60003</v>
      </c>
      <c r="K31" s="1" t="s">
        <v>731</v>
      </c>
      <c r="M31" s="8" t="s">
        <v>777</v>
      </c>
      <c r="P31" s="4"/>
    </row>
    <row r="32" spans="1:16" x14ac:dyDescent="0.3">
      <c r="A32" s="1">
        <v>70005</v>
      </c>
      <c r="B32" s="1">
        <v>7</v>
      </c>
      <c r="C32" s="1" t="s">
        <v>51</v>
      </c>
      <c r="D32" t="s">
        <v>829</v>
      </c>
      <c r="E32" s="1">
        <v>1</v>
      </c>
      <c r="J32" s="1">
        <v>60004</v>
      </c>
      <c r="K32" s="1" t="s">
        <v>830</v>
      </c>
      <c r="P32" s="4"/>
    </row>
    <row r="33" spans="1:16" x14ac:dyDescent="0.3">
      <c r="A33" s="1" t="s">
        <v>717</v>
      </c>
      <c r="B33" s="1">
        <v>7</v>
      </c>
      <c r="D33" t="s">
        <v>718</v>
      </c>
      <c r="E33" s="1" t="s">
        <v>58</v>
      </c>
      <c r="F33" s="1" t="s">
        <v>58</v>
      </c>
      <c r="G33" s="8" t="s">
        <v>719</v>
      </c>
      <c r="H33" s="9" t="s">
        <v>720</v>
      </c>
      <c r="I33" s="10" t="s">
        <v>58</v>
      </c>
      <c r="L33" s="1">
        <v>70001</v>
      </c>
      <c r="M33" s="8" t="s">
        <v>777</v>
      </c>
      <c r="P33" s="1">
        <v>1</v>
      </c>
    </row>
    <row r="34" spans="1:16" x14ac:dyDescent="0.3">
      <c r="A34" s="1" t="s">
        <v>737</v>
      </c>
      <c r="B34" s="1">
        <v>7</v>
      </c>
      <c r="D34" t="s">
        <v>88</v>
      </c>
      <c r="E34" s="1" t="s">
        <v>58</v>
      </c>
      <c r="F34" s="1" t="s">
        <v>58</v>
      </c>
      <c r="G34" s="8" t="s">
        <v>738</v>
      </c>
      <c r="H34" s="9" t="s">
        <v>58</v>
      </c>
      <c r="I34" s="10" t="s">
        <v>58</v>
      </c>
      <c r="L34" s="1">
        <v>70002</v>
      </c>
      <c r="M34" s="8" t="s">
        <v>777</v>
      </c>
      <c r="P34" s="1">
        <v>1</v>
      </c>
    </row>
    <row r="35" spans="1:16" x14ac:dyDescent="0.3">
      <c r="A35" s="1" t="s">
        <v>749</v>
      </c>
      <c r="B35" s="1">
        <v>7</v>
      </c>
      <c r="D35" t="s">
        <v>750</v>
      </c>
      <c r="E35" s="1" t="s">
        <v>58</v>
      </c>
      <c r="F35" s="1" t="s">
        <v>58</v>
      </c>
      <c r="I35" s="10" t="s">
        <v>58</v>
      </c>
      <c r="L35" s="1">
        <v>70003</v>
      </c>
      <c r="M35" s="8" t="s">
        <v>777</v>
      </c>
      <c r="P35" s="1">
        <v>1</v>
      </c>
    </row>
    <row r="36" spans="1:16" x14ac:dyDescent="0.3">
      <c r="A36" s="1">
        <v>80002</v>
      </c>
      <c r="B36" s="1">
        <v>8</v>
      </c>
      <c r="C36" s="1" t="s">
        <v>51</v>
      </c>
      <c r="D36" t="s">
        <v>728</v>
      </c>
      <c r="E36" s="1" t="s">
        <v>58</v>
      </c>
      <c r="F36" s="1" t="s">
        <v>58</v>
      </c>
      <c r="G36" s="8" t="s">
        <v>721</v>
      </c>
      <c r="H36" s="9" t="s">
        <v>722</v>
      </c>
      <c r="I36" s="10" t="s">
        <v>58</v>
      </c>
      <c r="J36" s="1">
        <v>70001</v>
      </c>
      <c r="K36" s="1" t="s">
        <v>717</v>
      </c>
      <c r="M36" s="8" t="s">
        <v>777</v>
      </c>
      <c r="P36" s="4"/>
    </row>
    <row r="37" spans="1:16" ht="43.2" x14ac:dyDescent="0.3">
      <c r="A37" s="1">
        <v>80001</v>
      </c>
      <c r="B37" s="1">
        <v>8</v>
      </c>
      <c r="C37" s="1" t="s">
        <v>51</v>
      </c>
      <c r="D37" t="s">
        <v>72</v>
      </c>
      <c r="E37" s="1">
        <v>2</v>
      </c>
      <c r="F37" s="1" t="s">
        <v>58</v>
      </c>
      <c r="G37" s="11" t="s">
        <v>755</v>
      </c>
      <c r="H37" s="9" t="s">
        <v>73</v>
      </c>
      <c r="I37" s="10" t="s">
        <v>778</v>
      </c>
      <c r="J37" s="1">
        <v>70002</v>
      </c>
      <c r="K37" s="1" t="s">
        <v>737</v>
      </c>
      <c r="M37" s="8" t="s">
        <v>778</v>
      </c>
      <c r="P37" s="4"/>
    </row>
    <row r="38" spans="1:16" x14ac:dyDescent="0.3">
      <c r="A38" s="1">
        <v>80003</v>
      </c>
      <c r="B38" s="1">
        <v>8</v>
      </c>
      <c r="C38" s="1" t="s">
        <v>51</v>
      </c>
      <c r="D38" t="s">
        <v>739</v>
      </c>
      <c r="E38" s="1">
        <v>1</v>
      </c>
      <c r="F38" s="1" t="s">
        <v>58</v>
      </c>
      <c r="G38" s="8" t="s">
        <v>740</v>
      </c>
      <c r="H38" s="9" t="s">
        <v>741</v>
      </c>
      <c r="I38" s="10" t="s">
        <v>58</v>
      </c>
      <c r="J38" s="1">
        <v>70002</v>
      </c>
      <c r="K38" s="1" t="s">
        <v>737</v>
      </c>
      <c r="M38" s="8" t="s">
        <v>777</v>
      </c>
      <c r="P38" s="4"/>
    </row>
    <row r="39" spans="1:16" x14ac:dyDescent="0.3">
      <c r="A39" s="1">
        <v>80004</v>
      </c>
      <c r="B39" s="1">
        <v>8</v>
      </c>
      <c r="C39" s="1" t="s">
        <v>51</v>
      </c>
      <c r="D39" t="s">
        <v>751</v>
      </c>
      <c r="J39" s="1">
        <v>70003</v>
      </c>
      <c r="K39" s="1" t="s">
        <v>749</v>
      </c>
      <c r="M39" s="8" t="s">
        <v>777</v>
      </c>
      <c r="N39" s="8"/>
      <c r="O39"/>
      <c r="P39"/>
    </row>
    <row r="40" spans="1:16" x14ac:dyDescent="0.3">
      <c r="A40" s="1" t="s">
        <v>74</v>
      </c>
      <c r="B40" s="1">
        <v>8</v>
      </c>
      <c r="D40" t="s">
        <v>75</v>
      </c>
      <c r="E40" s="1" t="s">
        <v>58</v>
      </c>
      <c r="F40" s="1" t="s">
        <v>58</v>
      </c>
      <c r="G40" s="8" t="s">
        <v>76</v>
      </c>
      <c r="H40" s="9" t="s">
        <v>58</v>
      </c>
      <c r="I40" s="10" t="s">
        <v>683</v>
      </c>
      <c r="L40" s="1">
        <v>80001</v>
      </c>
      <c r="M40" s="8" t="s">
        <v>776</v>
      </c>
      <c r="P40" s="1">
        <v>1</v>
      </c>
    </row>
    <row r="41" spans="1:16" x14ac:dyDescent="0.3">
      <c r="A41" s="1" t="s">
        <v>723</v>
      </c>
      <c r="B41" s="1">
        <v>8</v>
      </c>
      <c r="D41" t="s">
        <v>724</v>
      </c>
      <c r="E41" s="1" t="s">
        <v>58</v>
      </c>
      <c r="F41" s="1" t="s">
        <v>58</v>
      </c>
      <c r="G41" s="8" t="s">
        <v>725</v>
      </c>
      <c r="H41" s="9" t="s">
        <v>726</v>
      </c>
      <c r="I41" s="10" t="s">
        <v>58</v>
      </c>
      <c r="L41" s="1">
        <v>80002</v>
      </c>
      <c r="M41" s="8" t="s">
        <v>777</v>
      </c>
      <c r="P41" s="1">
        <v>1</v>
      </c>
    </row>
    <row r="42" spans="1:16" x14ac:dyDescent="0.3">
      <c r="A42" s="1" t="s">
        <v>743</v>
      </c>
      <c r="B42" s="1">
        <v>8</v>
      </c>
      <c r="D42" t="s">
        <v>744</v>
      </c>
      <c r="E42" s="1" t="s">
        <v>58</v>
      </c>
      <c r="F42" s="1" t="s">
        <v>58</v>
      </c>
      <c r="G42" s="8" t="s">
        <v>745</v>
      </c>
      <c r="H42" s="9" t="s">
        <v>734</v>
      </c>
      <c r="I42" s="10" t="s">
        <v>58</v>
      </c>
      <c r="L42" s="1">
        <v>80003</v>
      </c>
      <c r="M42" s="8" t="s">
        <v>777</v>
      </c>
      <c r="P42" s="1">
        <v>1</v>
      </c>
    </row>
    <row r="43" spans="1:16" ht="43.2" x14ac:dyDescent="0.3">
      <c r="A43" s="1">
        <v>90001</v>
      </c>
      <c r="B43" s="1">
        <v>9</v>
      </c>
      <c r="C43" s="1" t="s">
        <v>51</v>
      </c>
      <c r="D43" t="s">
        <v>77</v>
      </c>
      <c r="E43" s="1" t="s">
        <v>58</v>
      </c>
      <c r="F43" s="1" t="s">
        <v>58</v>
      </c>
      <c r="G43" s="11" t="s">
        <v>78</v>
      </c>
      <c r="H43" s="9" t="s">
        <v>79</v>
      </c>
      <c r="I43" s="10" t="s">
        <v>790</v>
      </c>
      <c r="J43" s="1">
        <v>80001</v>
      </c>
      <c r="K43" s="1" t="s">
        <v>74</v>
      </c>
      <c r="M43" s="8" t="s">
        <v>786</v>
      </c>
      <c r="P43" s="4"/>
    </row>
    <row r="44" spans="1:16" x14ac:dyDescent="0.3">
      <c r="A44" s="1">
        <v>90002</v>
      </c>
      <c r="B44" s="1">
        <v>9</v>
      </c>
      <c r="C44" s="1" t="s">
        <v>51</v>
      </c>
      <c r="D44" t="s">
        <v>727</v>
      </c>
      <c r="E44" s="1" t="s">
        <v>58</v>
      </c>
      <c r="F44" s="1" t="s">
        <v>58</v>
      </c>
      <c r="H44" s="9" t="s">
        <v>58</v>
      </c>
      <c r="I44" s="10" t="s">
        <v>58</v>
      </c>
      <c r="J44" s="1">
        <v>80002</v>
      </c>
      <c r="K44" s="1" t="s">
        <v>723</v>
      </c>
      <c r="M44" s="8" t="s">
        <v>777</v>
      </c>
      <c r="P44" s="4"/>
    </row>
    <row r="45" spans="1:16" x14ac:dyDescent="0.3">
      <c r="A45" s="1">
        <v>90003</v>
      </c>
      <c r="B45" s="1">
        <v>9</v>
      </c>
      <c r="C45" s="1" t="s">
        <v>51</v>
      </c>
      <c r="D45" t="s">
        <v>742</v>
      </c>
      <c r="J45" s="1">
        <v>80003</v>
      </c>
      <c r="K45" s="1" t="s">
        <v>743</v>
      </c>
      <c r="M45" s="8" t="s">
        <v>777</v>
      </c>
      <c r="N45" s="8"/>
      <c r="O45"/>
      <c r="P45"/>
    </row>
    <row r="46" spans="1:16" x14ac:dyDescent="0.3">
      <c r="A46" s="1" t="s">
        <v>80</v>
      </c>
      <c r="B46" s="1">
        <v>9</v>
      </c>
      <c r="D46" t="s">
        <v>81</v>
      </c>
      <c r="E46" s="1" t="s">
        <v>58</v>
      </c>
      <c r="F46" s="1" t="s">
        <v>58</v>
      </c>
      <c r="G46" s="8" t="s">
        <v>82</v>
      </c>
      <c r="H46" s="9" t="s">
        <v>83</v>
      </c>
      <c r="I46" s="10" t="s">
        <v>62</v>
      </c>
      <c r="L46" s="1">
        <v>90001</v>
      </c>
      <c r="M46" s="8" t="s">
        <v>62</v>
      </c>
      <c r="P46" s="1">
        <v>1</v>
      </c>
    </row>
    <row r="47" spans="1:16" x14ac:dyDescent="0.3">
      <c r="A47" s="1">
        <v>100001</v>
      </c>
      <c r="B47" s="1">
        <v>10</v>
      </c>
      <c r="C47" s="1" t="s">
        <v>51</v>
      </c>
      <c r="D47" t="s">
        <v>84</v>
      </c>
      <c r="E47" s="1" t="s">
        <v>58</v>
      </c>
      <c r="F47" s="1" t="s">
        <v>58</v>
      </c>
      <c r="G47" s="8" t="s">
        <v>85</v>
      </c>
      <c r="H47" s="9" t="s">
        <v>86</v>
      </c>
      <c r="I47" s="10" t="s">
        <v>62</v>
      </c>
      <c r="J47" s="1">
        <v>90001</v>
      </c>
      <c r="K47" s="1" t="s">
        <v>80</v>
      </c>
      <c r="M47" s="8" t="s">
        <v>62</v>
      </c>
      <c r="P47" s="4"/>
    </row>
    <row r="48" spans="1:16" x14ac:dyDescent="0.3">
      <c r="A48" s="1">
        <v>100002</v>
      </c>
      <c r="B48" s="1">
        <v>10</v>
      </c>
      <c r="C48" s="1" t="s">
        <v>51</v>
      </c>
      <c r="D48" t="s">
        <v>91</v>
      </c>
      <c r="E48" s="1" t="s">
        <v>58</v>
      </c>
      <c r="F48" s="1" t="s">
        <v>58</v>
      </c>
      <c r="H48" s="9" t="s">
        <v>336</v>
      </c>
      <c r="I48" s="10" t="s">
        <v>58</v>
      </c>
      <c r="J48" s="1">
        <v>90001</v>
      </c>
      <c r="K48" s="1" t="s">
        <v>80</v>
      </c>
      <c r="M48" s="8" t="s">
        <v>777</v>
      </c>
      <c r="P48" s="4"/>
    </row>
    <row r="49" spans="1:16" x14ac:dyDescent="0.3">
      <c r="A49" s="1">
        <v>100003</v>
      </c>
      <c r="B49" s="1">
        <v>10</v>
      </c>
      <c r="C49" s="1" t="s">
        <v>51</v>
      </c>
      <c r="D49" t="s">
        <v>92</v>
      </c>
      <c r="E49" s="1" t="s">
        <v>58</v>
      </c>
      <c r="F49" s="1" t="s">
        <v>58</v>
      </c>
      <c r="G49" s="8" t="s">
        <v>377</v>
      </c>
      <c r="H49" s="9" t="s">
        <v>378</v>
      </c>
      <c r="I49" s="10" t="s">
        <v>58</v>
      </c>
      <c r="J49" s="1">
        <v>90001</v>
      </c>
      <c r="K49" s="1" t="s">
        <v>80</v>
      </c>
      <c r="M49" s="8" t="s">
        <v>777</v>
      </c>
      <c r="P49" s="4"/>
    </row>
    <row r="50" spans="1:16" x14ac:dyDescent="0.3">
      <c r="A50" s="1" t="s">
        <v>87</v>
      </c>
      <c r="B50" s="1">
        <v>10</v>
      </c>
      <c r="D50" t="s">
        <v>88</v>
      </c>
      <c r="E50" s="1" t="s">
        <v>58</v>
      </c>
      <c r="F50" s="1" t="s">
        <v>58</v>
      </c>
      <c r="G50" s="8" t="s">
        <v>89</v>
      </c>
      <c r="H50" s="9" t="s">
        <v>90</v>
      </c>
      <c r="I50" s="10" t="s">
        <v>62</v>
      </c>
      <c r="L50" s="1">
        <v>100001</v>
      </c>
      <c r="M50" s="8" t="s">
        <v>62</v>
      </c>
      <c r="P50" s="1">
        <v>1</v>
      </c>
    </row>
    <row r="51" spans="1:16" x14ac:dyDescent="0.3">
      <c r="A51" s="1" t="s">
        <v>337</v>
      </c>
      <c r="B51" s="1">
        <v>10</v>
      </c>
      <c r="D51" t="s">
        <v>97</v>
      </c>
      <c r="E51" s="1" t="s">
        <v>58</v>
      </c>
      <c r="F51" s="1" t="s">
        <v>58</v>
      </c>
      <c r="G51" s="8" t="s">
        <v>339</v>
      </c>
      <c r="H51" s="9" t="s">
        <v>340</v>
      </c>
      <c r="I51" s="10" t="s">
        <v>58</v>
      </c>
      <c r="L51" s="1">
        <v>100002</v>
      </c>
      <c r="M51" s="8" t="s">
        <v>777</v>
      </c>
      <c r="P51" s="1">
        <v>1</v>
      </c>
    </row>
    <row r="52" spans="1:16" x14ac:dyDescent="0.3">
      <c r="A52" s="1" t="s">
        <v>338</v>
      </c>
      <c r="B52" s="1">
        <v>10</v>
      </c>
      <c r="D52" t="s">
        <v>97</v>
      </c>
      <c r="E52" s="1" t="s">
        <v>58</v>
      </c>
      <c r="F52" s="1" t="s">
        <v>58</v>
      </c>
      <c r="G52" s="8" t="s">
        <v>341</v>
      </c>
      <c r="H52" s="9" t="s">
        <v>342</v>
      </c>
      <c r="I52" s="10" t="s">
        <v>58</v>
      </c>
      <c r="L52" s="1">
        <v>100002</v>
      </c>
      <c r="M52" s="8" t="s">
        <v>777</v>
      </c>
      <c r="P52" s="1">
        <v>2</v>
      </c>
    </row>
    <row r="53" spans="1:16" x14ac:dyDescent="0.3">
      <c r="A53" s="1" t="s">
        <v>379</v>
      </c>
      <c r="B53" s="1">
        <v>10</v>
      </c>
      <c r="D53" t="s">
        <v>380</v>
      </c>
      <c r="E53" s="1" t="s">
        <v>58</v>
      </c>
      <c r="F53" s="1" t="s">
        <v>58</v>
      </c>
      <c r="G53" s="8" t="s">
        <v>381</v>
      </c>
      <c r="H53" s="9" t="s">
        <v>382</v>
      </c>
      <c r="I53" s="10" t="s">
        <v>58</v>
      </c>
      <c r="L53" s="1">
        <v>100003</v>
      </c>
      <c r="M53" s="8" t="s">
        <v>777</v>
      </c>
      <c r="P53" s="1">
        <v>1</v>
      </c>
    </row>
    <row r="54" spans="1:16" x14ac:dyDescent="0.3">
      <c r="A54" s="1">
        <v>110001</v>
      </c>
      <c r="B54" s="1">
        <v>11</v>
      </c>
      <c r="C54" s="1" t="s">
        <v>51</v>
      </c>
      <c r="D54" t="s">
        <v>93</v>
      </c>
      <c r="E54" s="1" t="s">
        <v>58</v>
      </c>
      <c r="F54" s="1" t="s">
        <v>58</v>
      </c>
      <c r="G54" s="8" t="s">
        <v>94</v>
      </c>
      <c r="H54" s="9" t="s">
        <v>95</v>
      </c>
      <c r="I54" s="10" t="s">
        <v>62</v>
      </c>
      <c r="J54" s="1">
        <v>100001</v>
      </c>
      <c r="K54" s="1" t="s">
        <v>87</v>
      </c>
      <c r="M54" s="10" t="s">
        <v>62</v>
      </c>
      <c r="N54" s="7"/>
      <c r="P54" s="4"/>
    </row>
    <row r="55" spans="1:16" x14ac:dyDescent="0.3">
      <c r="A55" s="1">
        <v>110002</v>
      </c>
      <c r="B55" s="1">
        <v>11</v>
      </c>
      <c r="C55" s="1" t="s">
        <v>51</v>
      </c>
      <c r="D55" t="s">
        <v>106</v>
      </c>
      <c r="E55" s="1" t="s">
        <v>58</v>
      </c>
      <c r="F55" s="1" t="s">
        <v>58</v>
      </c>
      <c r="G55" s="9" t="s">
        <v>58</v>
      </c>
      <c r="H55" s="9" t="s">
        <v>58</v>
      </c>
      <c r="I55" s="10" t="s">
        <v>58</v>
      </c>
      <c r="J55" s="1">
        <v>100001</v>
      </c>
      <c r="K55" s="1" t="s">
        <v>87</v>
      </c>
      <c r="M55" s="8" t="s">
        <v>777</v>
      </c>
      <c r="P55" s="4"/>
    </row>
    <row r="56" spans="1:16" x14ac:dyDescent="0.3">
      <c r="A56" s="1">
        <v>110003</v>
      </c>
      <c r="B56" s="1">
        <v>11</v>
      </c>
      <c r="C56" s="1" t="s">
        <v>51</v>
      </c>
      <c r="D56" t="s">
        <v>332</v>
      </c>
      <c r="E56" s="1" t="s">
        <v>58</v>
      </c>
      <c r="F56" s="1" t="s">
        <v>58</v>
      </c>
      <c r="G56" s="9" t="s">
        <v>58</v>
      </c>
      <c r="H56" s="9" t="s">
        <v>333</v>
      </c>
      <c r="I56" s="10" t="s">
        <v>58</v>
      </c>
      <c r="J56" s="1">
        <v>100001</v>
      </c>
      <c r="K56" s="1" t="s">
        <v>87</v>
      </c>
      <c r="M56" s="8" t="s">
        <v>777</v>
      </c>
      <c r="P56" s="4"/>
    </row>
    <row r="57" spans="1:16" x14ac:dyDescent="0.3">
      <c r="A57" s="1">
        <v>110009</v>
      </c>
      <c r="B57" s="1">
        <v>11</v>
      </c>
      <c r="C57" s="1" t="s">
        <v>51</v>
      </c>
      <c r="D57" t="s">
        <v>829</v>
      </c>
      <c r="E57" s="1">
        <v>1</v>
      </c>
      <c r="J57" s="1">
        <v>100002</v>
      </c>
      <c r="K57" s="1" t="s">
        <v>337</v>
      </c>
      <c r="P57" s="4"/>
    </row>
    <row r="58" spans="1:16" x14ac:dyDescent="0.3">
      <c r="A58" s="1">
        <v>110004</v>
      </c>
      <c r="B58" s="1">
        <v>11</v>
      </c>
      <c r="C58" s="1" t="s">
        <v>51</v>
      </c>
      <c r="D58" t="s">
        <v>343</v>
      </c>
      <c r="E58" s="1" t="s">
        <v>58</v>
      </c>
      <c r="F58" s="1" t="s">
        <v>58</v>
      </c>
      <c r="G58" s="8" t="s">
        <v>345</v>
      </c>
      <c r="H58" s="9" t="s">
        <v>346</v>
      </c>
      <c r="I58" s="10" t="s">
        <v>58</v>
      </c>
      <c r="J58" s="1">
        <v>100002</v>
      </c>
      <c r="K58" s="1" t="s">
        <v>338</v>
      </c>
      <c r="M58" s="8" t="s">
        <v>777</v>
      </c>
      <c r="P58" s="4"/>
    </row>
    <row r="59" spans="1:16" x14ac:dyDescent="0.3">
      <c r="A59" s="1">
        <v>110005</v>
      </c>
      <c r="B59" s="1">
        <v>11</v>
      </c>
      <c r="C59" s="1" t="s">
        <v>51</v>
      </c>
      <c r="D59" t="s">
        <v>344</v>
      </c>
      <c r="E59" s="1" t="s">
        <v>58</v>
      </c>
      <c r="F59" s="1" t="s">
        <v>58</v>
      </c>
      <c r="I59" s="10" t="s">
        <v>58</v>
      </c>
      <c r="J59" s="1">
        <v>100002</v>
      </c>
      <c r="K59" s="1" t="s">
        <v>338</v>
      </c>
      <c r="M59" s="8" t="s">
        <v>777</v>
      </c>
      <c r="P59" s="4"/>
    </row>
    <row r="60" spans="1:16" ht="57.6" x14ac:dyDescent="0.3">
      <c r="A60" s="1">
        <v>110006</v>
      </c>
      <c r="B60" s="1">
        <v>11</v>
      </c>
      <c r="C60" s="1" t="s">
        <v>51</v>
      </c>
      <c r="D60" t="s">
        <v>347</v>
      </c>
      <c r="E60" s="1" t="s">
        <v>58</v>
      </c>
      <c r="F60" s="1" t="s">
        <v>58</v>
      </c>
      <c r="G60" s="11" t="s">
        <v>678</v>
      </c>
      <c r="H60" s="9" t="s">
        <v>348</v>
      </c>
      <c r="I60" s="10" t="s">
        <v>58</v>
      </c>
      <c r="J60" s="1">
        <v>100002</v>
      </c>
      <c r="K60" s="1" t="s">
        <v>338</v>
      </c>
      <c r="M60" s="8" t="s">
        <v>777</v>
      </c>
      <c r="P60" s="4"/>
    </row>
    <row r="61" spans="1:16" x14ac:dyDescent="0.3">
      <c r="A61" s="1">
        <v>110007</v>
      </c>
      <c r="B61" s="1">
        <v>11</v>
      </c>
      <c r="C61" s="1" t="s">
        <v>51</v>
      </c>
      <c r="D61" t="s">
        <v>383</v>
      </c>
      <c r="E61" s="1" t="s">
        <v>58</v>
      </c>
      <c r="F61" s="1" t="s">
        <v>58</v>
      </c>
      <c r="G61" s="8" t="s">
        <v>385</v>
      </c>
      <c r="H61" s="9" t="s">
        <v>378</v>
      </c>
      <c r="I61" s="10" t="s">
        <v>58</v>
      </c>
      <c r="J61" s="1">
        <v>100003</v>
      </c>
      <c r="K61" s="1" t="s">
        <v>379</v>
      </c>
      <c r="M61" s="8" t="s">
        <v>777</v>
      </c>
      <c r="P61" s="4"/>
    </row>
    <row r="62" spans="1:16" x14ac:dyDescent="0.3">
      <c r="A62" s="1">
        <v>110008</v>
      </c>
      <c r="B62" s="1">
        <v>11</v>
      </c>
      <c r="C62" s="1" t="s">
        <v>51</v>
      </c>
      <c r="D62" t="s">
        <v>384</v>
      </c>
      <c r="E62" s="1" t="s">
        <v>58</v>
      </c>
      <c r="F62" s="1" t="s">
        <v>58</v>
      </c>
      <c r="G62" s="8" t="s">
        <v>386</v>
      </c>
      <c r="H62" s="9" t="s">
        <v>103</v>
      </c>
      <c r="I62" s="10" t="s">
        <v>58</v>
      </c>
      <c r="J62" s="1">
        <v>100003</v>
      </c>
      <c r="K62" s="1" t="s">
        <v>379</v>
      </c>
      <c r="M62" s="8" t="s">
        <v>777</v>
      </c>
      <c r="P62" s="4"/>
    </row>
    <row r="63" spans="1:16" x14ac:dyDescent="0.3">
      <c r="A63" s="1" t="s">
        <v>96</v>
      </c>
      <c r="B63" s="1">
        <v>11</v>
      </c>
      <c r="D63" t="s">
        <v>760</v>
      </c>
      <c r="E63" s="1" t="s">
        <v>58</v>
      </c>
      <c r="F63" s="1" t="s">
        <v>58</v>
      </c>
      <c r="G63" s="8" t="s">
        <v>98</v>
      </c>
      <c r="H63" s="9" t="s">
        <v>99</v>
      </c>
      <c r="I63" s="10" t="s">
        <v>758</v>
      </c>
      <c r="L63" s="1">
        <v>110001</v>
      </c>
      <c r="M63" s="8" t="s">
        <v>776</v>
      </c>
      <c r="P63" s="1">
        <v>1</v>
      </c>
    </row>
    <row r="64" spans="1:16" x14ac:dyDescent="0.3">
      <c r="A64" s="1" t="s">
        <v>100</v>
      </c>
      <c r="B64" s="1">
        <v>11</v>
      </c>
      <c r="D64" t="s">
        <v>101</v>
      </c>
      <c r="E64" s="1" t="s">
        <v>58</v>
      </c>
      <c r="F64" s="1" t="s">
        <v>58</v>
      </c>
      <c r="G64" s="8" t="s">
        <v>102</v>
      </c>
      <c r="H64" s="9" t="s">
        <v>103</v>
      </c>
      <c r="I64" s="10" t="s">
        <v>62</v>
      </c>
      <c r="L64" s="1">
        <v>110001</v>
      </c>
      <c r="M64" s="10" t="s">
        <v>62</v>
      </c>
      <c r="N64" s="7"/>
      <c r="P64" s="1">
        <v>2</v>
      </c>
    </row>
    <row r="65" spans="1:16" x14ac:dyDescent="0.3">
      <c r="A65" s="1" t="s">
        <v>834</v>
      </c>
      <c r="B65" s="1">
        <v>11</v>
      </c>
      <c r="D65" t="s">
        <v>829</v>
      </c>
      <c r="G65" s="9"/>
      <c r="L65" s="1">
        <v>110002</v>
      </c>
      <c r="P65" s="1">
        <v>1</v>
      </c>
    </row>
    <row r="66" spans="1:16" ht="43.2" x14ac:dyDescent="0.3">
      <c r="A66" s="1" t="s">
        <v>334</v>
      </c>
      <c r="B66" s="1">
        <v>11</v>
      </c>
      <c r="D66" t="s">
        <v>245</v>
      </c>
      <c r="E66" s="1" t="s">
        <v>58</v>
      </c>
      <c r="F66" s="1" t="s">
        <v>58</v>
      </c>
      <c r="G66" s="11" t="s">
        <v>335</v>
      </c>
      <c r="H66" s="9" t="s">
        <v>257</v>
      </c>
      <c r="I66" s="10" t="s">
        <v>58</v>
      </c>
      <c r="L66" s="1">
        <v>110003</v>
      </c>
      <c r="M66" s="8" t="s">
        <v>777</v>
      </c>
      <c r="P66" s="1">
        <v>1</v>
      </c>
    </row>
    <row r="67" spans="1:16" x14ac:dyDescent="0.3">
      <c r="A67" s="1" t="s">
        <v>835</v>
      </c>
      <c r="B67" s="1">
        <v>11</v>
      </c>
      <c r="D67" t="s">
        <v>829</v>
      </c>
      <c r="L67" s="1">
        <v>110004</v>
      </c>
      <c r="P67" s="1">
        <v>1</v>
      </c>
    </row>
    <row r="68" spans="1:16" x14ac:dyDescent="0.3">
      <c r="A68" s="1" t="s">
        <v>836</v>
      </c>
      <c r="B68" s="1">
        <v>11</v>
      </c>
      <c r="D68" t="s">
        <v>829</v>
      </c>
      <c r="L68" s="1">
        <v>110005</v>
      </c>
      <c r="P68" s="1">
        <v>1</v>
      </c>
    </row>
    <row r="69" spans="1:16" x14ac:dyDescent="0.3">
      <c r="A69" s="1" t="s">
        <v>349</v>
      </c>
      <c r="B69" s="1">
        <v>11</v>
      </c>
      <c r="D69" t="s">
        <v>350</v>
      </c>
      <c r="E69" s="1" t="s">
        <v>58</v>
      </c>
      <c r="F69" s="1" t="s">
        <v>58</v>
      </c>
      <c r="G69" s="8" t="s">
        <v>351</v>
      </c>
      <c r="H69" s="9" t="s">
        <v>58</v>
      </c>
      <c r="I69" s="10" t="s">
        <v>58</v>
      </c>
      <c r="L69" s="1">
        <v>110006</v>
      </c>
      <c r="M69" s="8" t="s">
        <v>777</v>
      </c>
      <c r="P69" s="1">
        <v>1</v>
      </c>
    </row>
    <row r="70" spans="1:16" x14ac:dyDescent="0.3">
      <c r="A70" s="1" t="s">
        <v>352</v>
      </c>
      <c r="B70" s="1">
        <v>11</v>
      </c>
      <c r="D70" t="s">
        <v>353</v>
      </c>
      <c r="E70" s="1" t="s">
        <v>58</v>
      </c>
      <c r="F70" s="1" t="s">
        <v>58</v>
      </c>
      <c r="G70" s="8" t="s">
        <v>354</v>
      </c>
      <c r="H70" s="9" t="s">
        <v>355</v>
      </c>
      <c r="I70" s="10" t="s">
        <v>58</v>
      </c>
      <c r="L70" s="1">
        <v>110006</v>
      </c>
      <c r="M70" s="8" t="s">
        <v>777</v>
      </c>
      <c r="P70" s="1">
        <v>2</v>
      </c>
    </row>
    <row r="71" spans="1:16" x14ac:dyDescent="0.3">
      <c r="A71" s="1" t="s">
        <v>845</v>
      </c>
      <c r="B71" s="1">
        <v>11</v>
      </c>
      <c r="D71" t="s">
        <v>829</v>
      </c>
      <c r="L71" s="1">
        <v>110007</v>
      </c>
      <c r="P71" s="1">
        <v>1</v>
      </c>
    </row>
    <row r="72" spans="1:16" x14ac:dyDescent="0.3">
      <c r="A72" s="1" t="s">
        <v>387</v>
      </c>
      <c r="B72" s="1">
        <v>11</v>
      </c>
      <c r="D72" t="s">
        <v>388</v>
      </c>
      <c r="E72" s="1" t="s">
        <v>58</v>
      </c>
      <c r="F72" s="1" t="s">
        <v>58</v>
      </c>
      <c r="G72" s="8" t="s">
        <v>389</v>
      </c>
      <c r="H72" s="9" t="s">
        <v>390</v>
      </c>
      <c r="I72" s="10" t="s">
        <v>58</v>
      </c>
      <c r="L72" s="1">
        <v>110008</v>
      </c>
      <c r="M72" s="8" t="s">
        <v>777</v>
      </c>
      <c r="P72" s="1">
        <v>1</v>
      </c>
    </row>
    <row r="73" spans="1:16" x14ac:dyDescent="0.3">
      <c r="A73" s="1" t="s">
        <v>391</v>
      </c>
      <c r="B73" s="1">
        <v>11</v>
      </c>
      <c r="D73" t="s">
        <v>392</v>
      </c>
      <c r="E73" s="1" t="s">
        <v>58</v>
      </c>
      <c r="F73" s="1" t="s">
        <v>58</v>
      </c>
      <c r="G73" s="8" t="s">
        <v>393</v>
      </c>
      <c r="H73" s="9" t="s">
        <v>390</v>
      </c>
      <c r="I73" s="10" t="s">
        <v>58</v>
      </c>
      <c r="L73" s="1">
        <v>110008</v>
      </c>
      <c r="M73" s="8" t="s">
        <v>777</v>
      </c>
      <c r="P73" s="1">
        <v>2</v>
      </c>
    </row>
    <row r="74" spans="1:16" x14ac:dyDescent="0.3">
      <c r="A74" s="1">
        <v>120001</v>
      </c>
      <c r="B74" s="1">
        <v>12</v>
      </c>
      <c r="C74" s="1" t="s">
        <v>51</v>
      </c>
      <c r="D74" t="s">
        <v>779</v>
      </c>
      <c r="E74" s="1" t="s">
        <v>58</v>
      </c>
      <c r="F74" s="1" t="s">
        <v>58</v>
      </c>
      <c r="G74" s="8" t="s">
        <v>104</v>
      </c>
      <c r="H74" s="9" t="s">
        <v>105</v>
      </c>
      <c r="I74" s="10" t="s">
        <v>683</v>
      </c>
      <c r="J74" s="1">
        <v>110001</v>
      </c>
      <c r="K74" s="1" t="s">
        <v>100</v>
      </c>
      <c r="M74" s="8" t="s">
        <v>776</v>
      </c>
      <c r="P74" s="4"/>
    </row>
    <row r="75" spans="1:16" ht="72" x14ac:dyDescent="0.3">
      <c r="A75" s="1">
        <v>120002</v>
      </c>
      <c r="B75" s="1">
        <v>12</v>
      </c>
      <c r="C75" s="1" t="s">
        <v>51</v>
      </c>
      <c r="D75" t="s">
        <v>762</v>
      </c>
      <c r="E75" s="1" t="s">
        <v>58</v>
      </c>
      <c r="F75" s="1" t="s">
        <v>58</v>
      </c>
      <c r="G75" s="11" t="s">
        <v>240</v>
      </c>
      <c r="H75" s="9" t="s">
        <v>178</v>
      </c>
      <c r="I75" s="8" t="s">
        <v>778</v>
      </c>
      <c r="J75" s="1">
        <v>110001</v>
      </c>
      <c r="K75" s="1" t="s">
        <v>100</v>
      </c>
      <c r="M75" s="8" t="s">
        <v>778</v>
      </c>
      <c r="P75" s="4"/>
    </row>
    <row r="76" spans="1:16" x14ac:dyDescent="0.3">
      <c r="A76" s="1">
        <v>120003</v>
      </c>
      <c r="B76" s="1">
        <v>12</v>
      </c>
      <c r="C76" s="1" t="s">
        <v>51</v>
      </c>
      <c r="D76" t="s">
        <v>356</v>
      </c>
      <c r="E76" s="1" t="s">
        <v>58</v>
      </c>
      <c r="F76" s="1" t="s">
        <v>58</v>
      </c>
      <c r="G76" s="8" t="s">
        <v>359</v>
      </c>
      <c r="H76" s="9" t="s">
        <v>360</v>
      </c>
      <c r="I76" s="10" t="s">
        <v>58</v>
      </c>
      <c r="J76" s="1">
        <v>110006</v>
      </c>
      <c r="K76" s="1" t="s">
        <v>349</v>
      </c>
      <c r="M76" s="8" t="s">
        <v>777</v>
      </c>
      <c r="P76" s="4"/>
    </row>
    <row r="77" spans="1:16" x14ac:dyDescent="0.3">
      <c r="A77" s="1">
        <v>120004</v>
      </c>
      <c r="B77" s="1">
        <v>12</v>
      </c>
      <c r="C77" s="1" t="s">
        <v>51</v>
      </c>
      <c r="D77" t="s">
        <v>357</v>
      </c>
      <c r="E77" s="1" t="s">
        <v>58</v>
      </c>
      <c r="F77" s="1" t="s">
        <v>58</v>
      </c>
      <c r="G77" s="8" t="s">
        <v>361</v>
      </c>
      <c r="H77" s="9" t="s">
        <v>291</v>
      </c>
      <c r="I77" s="10" t="s">
        <v>58</v>
      </c>
      <c r="J77" s="1">
        <v>110006</v>
      </c>
      <c r="K77" s="1" t="s">
        <v>352</v>
      </c>
      <c r="M77" s="8" t="s">
        <v>777</v>
      </c>
      <c r="P77" s="4"/>
    </row>
    <row r="78" spans="1:16" x14ac:dyDescent="0.3">
      <c r="A78" s="1">
        <v>120005</v>
      </c>
      <c r="B78" s="1">
        <v>12</v>
      </c>
      <c r="C78" s="1" t="s">
        <v>51</v>
      </c>
      <c r="D78" t="s">
        <v>358</v>
      </c>
      <c r="E78" s="1" t="s">
        <v>58</v>
      </c>
      <c r="F78" s="1" t="s">
        <v>58</v>
      </c>
      <c r="G78" s="8" t="s">
        <v>362</v>
      </c>
      <c r="H78" s="9" t="s">
        <v>281</v>
      </c>
      <c r="I78" s="10" t="s">
        <v>58</v>
      </c>
      <c r="J78" s="1">
        <v>110006</v>
      </c>
      <c r="K78" s="1" t="s">
        <v>352</v>
      </c>
      <c r="M78" s="8" t="s">
        <v>777</v>
      </c>
      <c r="P78" s="4"/>
    </row>
    <row r="79" spans="1:16" x14ac:dyDescent="0.3">
      <c r="A79" s="1">
        <v>120006</v>
      </c>
      <c r="B79" s="1">
        <v>12</v>
      </c>
      <c r="C79" s="1" t="s">
        <v>51</v>
      </c>
      <c r="D79" t="s">
        <v>210</v>
      </c>
      <c r="E79" s="1" t="s">
        <v>58</v>
      </c>
      <c r="F79" s="1" t="s">
        <v>58</v>
      </c>
      <c r="G79" s="8" t="s">
        <v>394</v>
      </c>
      <c r="I79" s="10" t="s">
        <v>58</v>
      </c>
      <c r="J79" s="1">
        <v>110008</v>
      </c>
      <c r="K79" s="1" t="s">
        <v>391</v>
      </c>
      <c r="M79" s="8" t="s">
        <v>777</v>
      </c>
      <c r="P79" s="4"/>
    </row>
    <row r="80" spans="1:16" x14ac:dyDescent="0.3">
      <c r="A80" s="1">
        <v>120007</v>
      </c>
      <c r="B80" s="1">
        <v>12</v>
      </c>
      <c r="C80" s="1" t="s">
        <v>51</v>
      </c>
      <c r="D80" t="s">
        <v>829</v>
      </c>
      <c r="E80" s="1">
        <v>1</v>
      </c>
      <c r="J80" s="1">
        <v>110001</v>
      </c>
      <c r="K80" s="1" t="s">
        <v>96</v>
      </c>
      <c r="P80" s="4"/>
    </row>
    <row r="81" spans="1:16" x14ac:dyDescent="0.3">
      <c r="A81" s="1">
        <v>120008</v>
      </c>
      <c r="B81" s="1">
        <v>12</v>
      </c>
      <c r="C81" s="1" t="s">
        <v>51</v>
      </c>
      <c r="D81" t="s">
        <v>829</v>
      </c>
      <c r="E81" s="1">
        <v>1</v>
      </c>
      <c r="J81" s="1">
        <v>110003</v>
      </c>
      <c r="K81" s="1" t="s">
        <v>334</v>
      </c>
      <c r="P81" s="4"/>
    </row>
    <row r="82" spans="1:16" x14ac:dyDescent="0.3">
      <c r="A82" s="1">
        <v>120009</v>
      </c>
      <c r="B82" s="1">
        <v>12</v>
      </c>
      <c r="C82" s="1" t="s">
        <v>51</v>
      </c>
      <c r="D82" t="s">
        <v>829</v>
      </c>
      <c r="E82" s="1">
        <v>1</v>
      </c>
      <c r="J82" s="1">
        <v>110008</v>
      </c>
      <c r="K82" s="1" t="s">
        <v>387</v>
      </c>
      <c r="P82" s="4"/>
    </row>
    <row r="83" spans="1:16" x14ac:dyDescent="0.3">
      <c r="A83" s="1" t="s">
        <v>107</v>
      </c>
      <c r="B83" s="1">
        <v>12</v>
      </c>
      <c r="D83" t="s">
        <v>756</v>
      </c>
      <c r="E83" s="1" t="s">
        <v>58</v>
      </c>
      <c r="F83" s="1" t="s">
        <v>58</v>
      </c>
      <c r="G83" s="8" t="s">
        <v>108</v>
      </c>
      <c r="H83" s="9" t="s">
        <v>109</v>
      </c>
      <c r="I83" s="10" t="s">
        <v>58</v>
      </c>
      <c r="L83" s="1">
        <v>120001</v>
      </c>
      <c r="M83" s="8" t="s">
        <v>777</v>
      </c>
      <c r="P83" s="1">
        <v>1</v>
      </c>
    </row>
    <row r="84" spans="1:16" x14ac:dyDescent="0.3">
      <c r="A84" s="1" t="s">
        <v>110</v>
      </c>
      <c r="B84" s="1">
        <v>12</v>
      </c>
      <c r="D84" t="s">
        <v>111</v>
      </c>
      <c r="E84" s="1" t="s">
        <v>58</v>
      </c>
      <c r="F84" s="1" t="s">
        <v>58</v>
      </c>
      <c r="G84" s="8" t="s">
        <v>112</v>
      </c>
      <c r="H84" s="9" t="s">
        <v>113</v>
      </c>
      <c r="I84" s="10" t="s">
        <v>761</v>
      </c>
      <c r="L84" s="1">
        <v>120001</v>
      </c>
      <c r="M84" s="8" t="s">
        <v>776</v>
      </c>
      <c r="P84" s="1">
        <v>2</v>
      </c>
    </row>
    <row r="85" spans="1:16" x14ac:dyDescent="0.3">
      <c r="A85" s="1" t="s">
        <v>179</v>
      </c>
      <c r="B85" s="1">
        <v>12</v>
      </c>
      <c r="D85" t="s">
        <v>111</v>
      </c>
      <c r="E85" s="1" t="s">
        <v>58</v>
      </c>
      <c r="F85" s="1" t="s">
        <v>58</v>
      </c>
      <c r="G85" s="8" t="s">
        <v>180</v>
      </c>
      <c r="H85" s="9" t="s">
        <v>181</v>
      </c>
      <c r="I85" s="10" t="s">
        <v>62</v>
      </c>
      <c r="L85" s="1">
        <v>120002</v>
      </c>
      <c r="M85" s="8" t="s">
        <v>62</v>
      </c>
      <c r="P85" s="1">
        <v>1</v>
      </c>
    </row>
    <row r="86" spans="1:16" x14ac:dyDescent="0.3">
      <c r="A86" s="1" t="s">
        <v>837</v>
      </c>
      <c r="B86" s="1">
        <v>12</v>
      </c>
      <c r="D86" t="s">
        <v>829</v>
      </c>
      <c r="L86" s="1">
        <v>120003</v>
      </c>
      <c r="P86" s="1">
        <v>1</v>
      </c>
    </row>
    <row r="87" spans="1:16" x14ac:dyDescent="0.3">
      <c r="A87" s="1" t="s">
        <v>363</v>
      </c>
      <c r="B87" s="1">
        <v>12</v>
      </c>
      <c r="D87" t="s">
        <v>97</v>
      </c>
      <c r="E87" s="1" t="s">
        <v>58</v>
      </c>
      <c r="F87" s="1" t="s">
        <v>58</v>
      </c>
      <c r="G87" s="8" t="s">
        <v>364</v>
      </c>
      <c r="H87" s="9" t="s">
        <v>365</v>
      </c>
      <c r="I87" s="10" t="s">
        <v>58</v>
      </c>
      <c r="L87" s="1">
        <v>120004</v>
      </c>
      <c r="M87" s="8" t="s">
        <v>777</v>
      </c>
      <c r="P87" s="1">
        <v>1</v>
      </c>
    </row>
    <row r="88" spans="1:16" x14ac:dyDescent="0.3">
      <c r="A88" s="1" t="s">
        <v>367</v>
      </c>
      <c r="B88" s="1">
        <v>12</v>
      </c>
      <c r="D88" t="s">
        <v>131</v>
      </c>
      <c r="E88" s="1" t="s">
        <v>58</v>
      </c>
      <c r="F88" s="1" t="s">
        <v>58</v>
      </c>
      <c r="G88" s="8" t="s">
        <v>368</v>
      </c>
      <c r="H88" s="9" t="s">
        <v>365</v>
      </c>
      <c r="I88" s="10" t="s">
        <v>58</v>
      </c>
      <c r="L88" s="1">
        <v>120005</v>
      </c>
      <c r="M88" s="8" t="s">
        <v>777</v>
      </c>
      <c r="P88" s="1">
        <v>1</v>
      </c>
    </row>
    <row r="89" spans="1:16" x14ac:dyDescent="0.3">
      <c r="A89" s="1" t="s">
        <v>838</v>
      </c>
      <c r="B89" s="1">
        <v>12</v>
      </c>
      <c r="D89" t="s">
        <v>829</v>
      </c>
      <c r="L89" s="1">
        <v>120006</v>
      </c>
      <c r="P89" s="1">
        <v>1</v>
      </c>
    </row>
    <row r="90" spans="1:16" ht="43.2" x14ac:dyDescent="0.3">
      <c r="A90" s="1">
        <v>130001</v>
      </c>
      <c r="B90" s="1">
        <v>13</v>
      </c>
      <c r="C90" s="1" t="s">
        <v>51</v>
      </c>
      <c r="D90" t="s">
        <v>63</v>
      </c>
      <c r="E90" s="1" t="s">
        <v>58</v>
      </c>
      <c r="F90" s="1" t="s">
        <v>58</v>
      </c>
      <c r="G90" s="11" t="s">
        <v>120</v>
      </c>
      <c r="H90" s="9" t="s">
        <v>114</v>
      </c>
      <c r="I90" s="10" t="s">
        <v>58</v>
      </c>
      <c r="J90" s="1">
        <v>120001</v>
      </c>
      <c r="K90" s="1" t="s">
        <v>107</v>
      </c>
      <c r="M90" s="8" t="s">
        <v>777</v>
      </c>
      <c r="P90" s="4"/>
    </row>
    <row r="91" spans="1:16" ht="43.2" x14ac:dyDescent="0.3">
      <c r="A91" s="1">
        <v>130002</v>
      </c>
      <c r="B91" s="1">
        <v>13</v>
      </c>
      <c r="C91" s="1" t="s">
        <v>51</v>
      </c>
      <c r="D91" t="s">
        <v>115</v>
      </c>
      <c r="E91" s="1" t="s">
        <v>58</v>
      </c>
      <c r="F91" s="1" t="s">
        <v>58</v>
      </c>
      <c r="G91" s="11" t="s">
        <v>119</v>
      </c>
      <c r="H91" s="9" t="s">
        <v>58</v>
      </c>
      <c r="I91" s="10" t="s">
        <v>58</v>
      </c>
      <c r="J91" s="1">
        <v>120001</v>
      </c>
      <c r="K91" s="1" t="s">
        <v>110</v>
      </c>
      <c r="M91" s="8" t="s">
        <v>777</v>
      </c>
      <c r="P91" s="4"/>
    </row>
    <row r="92" spans="1:16" x14ac:dyDescent="0.3">
      <c r="A92" s="1">
        <v>130003</v>
      </c>
      <c r="B92" s="1">
        <v>13</v>
      </c>
      <c r="C92" s="1" t="s">
        <v>51</v>
      </c>
      <c r="D92" t="s">
        <v>116</v>
      </c>
      <c r="E92" s="1" t="s">
        <v>58</v>
      </c>
      <c r="F92" s="1" t="s">
        <v>58</v>
      </c>
      <c r="G92" s="8" t="s">
        <v>792</v>
      </c>
      <c r="H92" s="9" t="s">
        <v>133</v>
      </c>
      <c r="I92" s="10" t="s">
        <v>58</v>
      </c>
      <c r="J92" s="1">
        <v>120001</v>
      </c>
      <c r="K92" s="1" t="s">
        <v>110</v>
      </c>
      <c r="M92" s="8" t="s">
        <v>778</v>
      </c>
      <c r="P92" s="4"/>
    </row>
    <row r="93" spans="1:16" x14ac:dyDescent="0.3">
      <c r="A93" s="1">
        <v>130004</v>
      </c>
      <c r="B93" s="1">
        <v>13</v>
      </c>
      <c r="C93" s="1" t="s">
        <v>51</v>
      </c>
      <c r="D93" t="s">
        <v>182</v>
      </c>
      <c r="E93" s="1" t="s">
        <v>58</v>
      </c>
      <c r="F93" s="1" t="s">
        <v>58</v>
      </c>
      <c r="G93" s="8" t="s">
        <v>187</v>
      </c>
      <c r="H93" s="9" t="s">
        <v>188</v>
      </c>
      <c r="I93" s="10" t="s">
        <v>758</v>
      </c>
      <c r="J93" s="1">
        <v>120002</v>
      </c>
      <c r="K93" s="1" t="s">
        <v>179</v>
      </c>
      <c r="M93" s="8" t="s">
        <v>776</v>
      </c>
      <c r="P93" s="4"/>
    </row>
    <row r="94" spans="1:16" ht="43.2" x14ac:dyDescent="0.3">
      <c r="A94" s="1">
        <v>130005</v>
      </c>
      <c r="B94" s="1">
        <v>13</v>
      </c>
      <c r="C94" s="1" t="s">
        <v>51</v>
      </c>
      <c r="D94" t="s">
        <v>183</v>
      </c>
      <c r="E94" s="1" t="s">
        <v>58</v>
      </c>
      <c r="F94" s="1" t="s">
        <v>58</v>
      </c>
      <c r="G94" s="11" t="s">
        <v>203</v>
      </c>
      <c r="H94" s="9" t="s">
        <v>770</v>
      </c>
      <c r="I94" s="10" t="s">
        <v>58</v>
      </c>
      <c r="J94" s="1">
        <v>120002</v>
      </c>
      <c r="K94" s="1" t="s">
        <v>179</v>
      </c>
      <c r="M94" s="8" t="s">
        <v>777</v>
      </c>
      <c r="P94" s="4"/>
    </row>
    <row r="95" spans="1:16" ht="43.2" x14ac:dyDescent="0.3">
      <c r="A95" s="1">
        <v>130006</v>
      </c>
      <c r="B95" s="1">
        <v>13</v>
      </c>
      <c r="C95" s="1" t="s">
        <v>51</v>
      </c>
      <c r="D95" t="s">
        <v>184</v>
      </c>
      <c r="E95" s="1" t="s">
        <v>58</v>
      </c>
      <c r="F95" s="1" t="s">
        <v>58</v>
      </c>
      <c r="G95" s="11" t="s">
        <v>241</v>
      </c>
      <c r="H95" s="9" t="s">
        <v>242</v>
      </c>
      <c r="I95" s="10" t="s">
        <v>62</v>
      </c>
      <c r="J95" s="1">
        <v>120002</v>
      </c>
      <c r="K95" s="1" t="s">
        <v>179</v>
      </c>
      <c r="M95" s="8" t="s">
        <v>62</v>
      </c>
      <c r="P95" s="4"/>
    </row>
    <row r="96" spans="1:16" x14ac:dyDescent="0.3">
      <c r="A96" s="1">
        <v>130007</v>
      </c>
      <c r="B96" s="1">
        <v>13</v>
      </c>
      <c r="C96" s="1" t="s">
        <v>51</v>
      </c>
      <c r="D96" t="s">
        <v>185</v>
      </c>
      <c r="E96" s="1" t="s">
        <v>58</v>
      </c>
      <c r="F96" s="1" t="s">
        <v>58</v>
      </c>
      <c r="G96" s="8" t="s">
        <v>243</v>
      </c>
      <c r="H96" s="9" t="s">
        <v>242</v>
      </c>
      <c r="I96" s="10" t="s">
        <v>62</v>
      </c>
      <c r="J96" s="1">
        <v>120002</v>
      </c>
      <c r="K96" s="1" t="s">
        <v>179</v>
      </c>
      <c r="M96" s="8" t="s">
        <v>62</v>
      </c>
      <c r="P96" s="4"/>
    </row>
    <row r="97" spans="1:16" ht="43.2" x14ac:dyDescent="0.3">
      <c r="A97" s="1">
        <v>130008</v>
      </c>
      <c r="B97" s="1">
        <v>13</v>
      </c>
      <c r="C97" s="1" t="s">
        <v>51</v>
      </c>
      <c r="D97" t="s">
        <v>186</v>
      </c>
      <c r="E97" s="1" t="s">
        <v>58</v>
      </c>
      <c r="F97" s="1" t="s">
        <v>58</v>
      </c>
      <c r="G97" s="11" t="s">
        <v>280</v>
      </c>
      <c r="H97" s="9" t="s">
        <v>281</v>
      </c>
      <c r="I97" s="10" t="s">
        <v>58</v>
      </c>
      <c r="J97" s="1">
        <v>120002</v>
      </c>
      <c r="K97" s="1" t="s">
        <v>179</v>
      </c>
      <c r="M97" s="8" t="s">
        <v>777</v>
      </c>
      <c r="P97" s="4"/>
    </row>
    <row r="98" spans="1:16" x14ac:dyDescent="0.3">
      <c r="A98" s="1">
        <v>130011</v>
      </c>
      <c r="B98" s="1">
        <v>13</v>
      </c>
      <c r="C98" s="1" t="s">
        <v>51</v>
      </c>
      <c r="D98" t="s">
        <v>810</v>
      </c>
      <c r="E98" s="1" t="s">
        <v>58</v>
      </c>
      <c r="F98" s="1" t="s">
        <v>58</v>
      </c>
      <c r="G98" s="8" t="s">
        <v>201</v>
      </c>
      <c r="I98" s="10" t="s">
        <v>62</v>
      </c>
      <c r="J98" s="1">
        <v>120002</v>
      </c>
      <c r="K98" s="1" t="s">
        <v>179</v>
      </c>
      <c r="M98" s="8" t="s">
        <v>62</v>
      </c>
      <c r="P98" s="4"/>
    </row>
    <row r="99" spans="1:16" x14ac:dyDescent="0.3">
      <c r="A99" s="1">
        <v>130009</v>
      </c>
      <c r="B99" s="1">
        <v>13</v>
      </c>
      <c r="C99" s="1" t="s">
        <v>51</v>
      </c>
      <c r="D99" t="s">
        <v>366</v>
      </c>
      <c r="E99" s="1" t="s">
        <v>58</v>
      </c>
      <c r="F99" s="1" t="s">
        <v>58</v>
      </c>
      <c r="I99" s="10" t="s">
        <v>58</v>
      </c>
      <c r="J99" s="1">
        <v>120004</v>
      </c>
      <c r="K99" s="1" t="s">
        <v>363</v>
      </c>
      <c r="M99" s="8" t="s">
        <v>777</v>
      </c>
      <c r="P99" s="4"/>
    </row>
    <row r="100" spans="1:16" x14ac:dyDescent="0.3">
      <c r="A100" s="1">
        <v>130010</v>
      </c>
      <c r="B100" s="1">
        <v>13</v>
      </c>
      <c r="C100" s="1" t="s">
        <v>51</v>
      </c>
      <c r="D100" t="s">
        <v>369</v>
      </c>
      <c r="E100" s="1" t="s">
        <v>58</v>
      </c>
      <c r="F100" s="1" t="s">
        <v>58</v>
      </c>
      <c r="H100" s="9" t="s">
        <v>58</v>
      </c>
      <c r="I100" s="10" t="s">
        <v>58</v>
      </c>
      <c r="J100" s="1">
        <v>120005</v>
      </c>
      <c r="K100" s="1" t="s">
        <v>367</v>
      </c>
      <c r="M100" s="8" t="s">
        <v>777</v>
      </c>
      <c r="P100" s="4"/>
    </row>
    <row r="101" spans="1:16" x14ac:dyDescent="0.3">
      <c r="A101" s="1" t="s">
        <v>64</v>
      </c>
      <c r="B101" s="1">
        <v>13</v>
      </c>
      <c r="D101" t="s">
        <v>65</v>
      </c>
      <c r="E101" s="1" t="s">
        <v>58</v>
      </c>
      <c r="F101" s="1" t="s">
        <v>58</v>
      </c>
      <c r="G101" s="8" t="s">
        <v>117</v>
      </c>
      <c r="H101" s="9" t="s">
        <v>118</v>
      </c>
      <c r="I101" s="10" t="s">
        <v>62</v>
      </c>
      <c r="L101" s="1">
        <v>130001</v>
      </c>
      <c r="M101" s="8" t="s">
        <v>62</v>
      </c>
      <c r="P101" s="1">
        <v>1</v>
      </c>
    </row>
    <row r="102" spans="1:16" x14ac:dyDescent="0.3">
      <c r="A102" s="1" t="s">
        <v>121</v>
      </c>
      <c r="B102" s="1">
        <v>13</v>
      </c>
      <c r="D102" t="s">
        <v>122</v>
      </c>
      <c r="E102" s="1" t="s">
        <v>58</v>
      </c>
      <c r="F102" s="1" t="s">
        <v>58</v>
      </c>
      <c r="G102" s="8" t="s">
        <v>123</v>
      </c>
      <c r="H102" s="9" t="s">
        <v>124</v>
      </c>
      <c r="I102" s="10" t="s">
        <v>58</v>
      </c>
      <c r="L102" s="1">
        <v>130002</v>
      </c>
      <c r="M102" s="8" t="s">
        <v>777</v>
      </c>
      <c r="P102" s="1">
        <v>1</v>
      </c>
    </row>
    <row r="103" spans="1:16" x14ac:dyDescent="0.3">
      <c r="A103" s="1" t="s">
        <v>125</v>
      </c>
      <c r="B103" s="1">
        <v>13</v>
      </c>
      <c r="D103" t="s">
        <v>126</v>
      </c>
      <c r="E103" s="1" t="s">
        <v>58</v>
      </c>
      <c r="F103" s="1" t="s">
        <v>58</v>
      </c>
      <c r="G103" s="8" t="s">
        <v>127</v>
      </c>
      <c r="H103" s="9" t="s">
        <v>128</v>
      </c>
      <c r="I103" s="10" t="s">
        <v>58</v>
      </c>
      <c r="L103" s="1">
        <v>130002</v>
      </c>
      <c r="M103" s="8" t="s">
        <v>777</v>
      </c>
      <c r="P103" s="1">
        <v>2</v>
      </c>
    </row>
    <row r="104" spans="1:16" x14ac:dyDescent="0.3">
      <c r="A104" s="1" t="s">
        <v>135</v>
      </c>
      <c r="B104" s="1">
        <v>13</v>
      </c>
      <c r="D104" t="s">
        <v>97</v>
      </c>
      <c r="E104" s="1" t="s">
        <v>58</v>
      </c>
      <c r="F104" s="1" t="s">
        <v>58</v>
      </c>
      <c r="G104" s="8" t="s">
        <v>58</v>
      </c>
      <c r="H104" s="9" t="s">
        <v>58</v>
      </c>
      <c r="I104" s="10" t="s">
        <v>58</v>
      </c>
      <c r="L104" s="1">
        <v>130003</v>
      </c>
      <c r="M104" s="8" t="s">
        <v>777</v>
      </c>
      <c r="P104" s="1">
        <v>1</v>
      </c>
    </row>
    <row r="105" spans="1:16" x14ac:dyDescent="0.3">
      <c r="A105" s="1" t="s">
        <v>193</v>
      </c>
      <c r="B105" s="1">
        <v>13</v>
      </c>
      <c r="D105" t="s">
        <v>189</v>
      </c>
      <c r="E105" s="1" t="s">
        <v>58</v>
      </c>
      <c r="F105" s="1" t="s">
        <v>58</v>
      </c>
      <c r="G105" s="8" t="s">
        <v>123</v>
      </c>
      <c r="H105" s="9" t="s">
        <v>190</v>
      </c>
      <c r="I105" s="10" t="s">
        <v>58</v>
      </c>
      <c r="L105" s="1">
        <v>130004</v>
      </c>
      <c r="M105" s="8" t="s">
        <v>777</v>
      </c>
      <c r="P105" s="1">
        <v>1</v>
      </c>
    </row>
    <row r="106" spans="1:16" x14ac:dyDescent="0.3">
      <c r="A106" s="1" t="s">
        <v>194</v>
      </c>
      <c r="B106" s="1">
        <v>13</v>
      </c>
      <c r="D106" t="s">
        <v>191</v>
      </c>
      <c r="E106" s="1" t="s">
        <v>58</v>
      </c>
      <c r="F106" s="1" t="s">
        <v>58</v>
      </c>
      <c r="G106" s="8" t="s">
        <v>192</v>
      </c>
      <c r="I106" s="10" t="s">
        <v>58</v>
      </c>
      <c r="L106" s="1">
        <v>130004</v>
      </c>
      <c r="M106" s="8" t="s">
        <v>777</v>
      </c>
      <c r="P106" s="1">
        <v>2</v>
      </c>
    </row>
    <row r="107" spans="1:16" x14ac:dyDescent="0.3">
      <c r="A107" s="1" t="s">
        <v>204</v>
      </c>
      <c r="B107" s="1">
        <v>13</v>
      </c>
      <c r="D107" t="s">
        <v>767</v>
      </c>
      <c r="E107" s="1" t="s">
        <v>58</v>
      </c>
      <c r="F107" s="1" t="s">
        <v>58</v>
      </c>
      <c r="G107" s="8" t="s">
        <v>205</v>
      </c>
      <c r="H107" s="9" t="s">
        <v>58</v>
      </c>
      <c r="I107" s="10" t="s">
        <v>62</v>
      </c>
      <c r="L107" s="1">
        <v>130005</v>
      </c>
      <c r="M107" s="10" t="s">
        <v>62</v>
      </c>
      <c r="N107" s="7"/>
      <c r="P107" s="1">
        <v>1</v>
      </c>
    </row>
    <row r="108" spans="1:16" x14ac:dyDescent="0.3">
      <c r="A108" s="1" t="s">
        <v>244</v>
      </c>
      <c r="B108" s="1">
        <v>13</v>
      </c>
      <c r="D108" t="s">
        <v>245</v>
      </c>
      <c r="E108" s="1" t="s">
        <v>58</v>
      </c>
      <c r="F108" s="1" t="s">
        <v>58</v>
      </c>
      <c r="G108" s="8" t="s">
        <v>246</v>
      </c>
      <c r="H108" s="9" t="s">
        <v>247</v>
      </c>
      <c r="I108" s="10" t="s">
        <v>58</v>
      </c>
      <c r="L108" s="1">
        <v>130007</v>
      </c>
      <c r="M108" s="8" t="s">
        <v>777</v>
      </c>
      <c r="P108" s="1">
        <v>1</v>
      </c>
    </row>
    <row r="109" spans="1:16" x14ac:dyDescent="0.3">
      <c r="A109" s="1" t="s">
        <v>282</v>
      </c>
      <c r="B109" s="1">
        <v>13</v>
      </c>
      <c r="D109" t="s">
        <v>283</v>
      </c>
      <c r="E109" s="1" t="s">
        <v>58</v>
      </c>
      <c r="F109" s="1" t="s">
        <v>58</v>
      </c>
      <c r="G109" s="8" t="s">
        <v>284</v>
      </c>
      <c r="H109" s="9" t="s">
        <v>285</v>
      </c>
      <c r="I109" s="10" t="s">
        <v>58</v>
      </c>
      <c r="L109" s="1">
        <v>130008</v>
      </c>
      <c r="M109" s="8" t="s">
        <v>777</v>
      </c>
      <c r="P109" s="1">
        <v>1</v>
      </c>
    </row>
    <row r="110" spans="1:16" x14ac:dyDescent="0.3">
      <c r="A110" s="1" t="s">
        <v>839</v>
      </c>
      <c r="B110" s="1">
        <v>13</v>
      </c>
      <c r="D110" t="s">
        <v>829</v>
      </c>
      <c r="L110" s="1">
        <v>130009</v>
      </c>
      <c r="P110" s="1">
        <v>1</v>
      </c>
    </row>
    <row r="111" spans="1:16" x14ac:dyDescent="0.3">
      <c r="A111" s="1" t="s">
        <v>370</v>
      </c>
      <c r="B111" s="1">
        <v>13</v>
      </c>
      <c r="D111" t="s">
        <v>372</v>
      </c>
      <c r="E111" s="1" t="s">
        <v>58</v>
      </c>
      <c r="F111" s="1" t="s">
        <v>58</v>
      </c>
      <c r="G111" s="8" t="s">
        <v>373</v>
      </c>
      <c r="H111" s="9" t="s">
        <v>374</v>
      </c>
      <c r="I111" s="10" t="s">
        <v>58</v>
      </c>
      <c r="L111" s="1">
        <v>130010</v>
      </c>
      <c r="M111" s="8" t="s">
        <v>777</v>
      </c>
      <c r="P111" s="1">
        <v>1</v>
      </c>
    </row>
    <row r="112" spans="1:16" x14ac:dyDescent="0.3">
      <c r="A112" s="1" t="s">
        <v>371</v>
      </c>
      <c r="B112" s="1">
        <v>13</v>
      </c>
      <c r="D112" t="s">
        <v>375</v>
      </c>
      <c r="E112" s="1" t="s">
        <v>58</v>
      </c>
      <c r="F112" s="1" t="s">
        <v>58</v>
      </c>
      <c r="I112" s="10" t="s">
        <v>58</v>
      </c>
      <c r="L112" s="1">
        <v>130010</v>
      </c>
      <c r="M112" s="8" t="s">
        <v>777</v>
      </c>
      <c r="P112" s="1">
        <v>2</v>
      </c>
    </row>
    <row r="113" spans="1:16" ht="28.8" x14ac:dyDescent="0.3">
      <c r="A113" s="1">
        <v>140001</v>
      </c>
      <c r="B113" s="1">
        <v>14</v>
      </c>
      <c r="C113" s="1" t="s">
        <v>51</v>
      </c>
      <c r="D113" t="s">
        <v>61</v>
      </c>
      <c r="E113" s="1">
        <v>1910</v>
      </c>
      <c r="F113" s="1" t="s">
        <v>58</v>
      </c>
      <c r="G113" s="11" t="s">
        <v>68</v>
      </c>
      <c r="H113" s="9" t="s">
        <v>58</v>
      </c>
      <c r="I113" s="10" t="s">
        <v>62</v>
      </c>
      <c r="J113" s="1">
        <v>130001</v>
      </c>
      <c r="K113" s="1" t="s">
        <v>64</v>
      </c>
      <c r="M113" s="10" t="s">
        <v>62</v>
      </c>
      <c r="N113" s="7"/>
      <c r="P113" s="4"/>
    </row>
    <row r="114" spans="1:16" x14ac:dyDescent="0.3">
      <c r="A114" s="1">
        <v>140002</v>
      </c>
      <c r="B114" s="1">
        <v>14</v>
      </c>
      <c r="C114" s="1" t="s">
        <v>51</v>
      </c>
      <c r="D114" t="s">
        <v>129</v>
      </c>
      <c r="E114" s="1" t="s">
        <v>58</v>
      </c>
      <c r="F114" s="1" t="s">
        <v>58</v>
      </c>
      <c r="G114" s="8" t="s">
        <v>58</v>
      </c>
      <c r="H114" s="9" t="s">
        <v>58</v>
      </c>
      <c r="I114" s="10" t="s">
        <v>58</v>
      </c>
      <c r="J114" s="1">
        <v>130002</v>
      </c>
      <c r="K114" s="1" t="s">
        <v>125</v>
      </c>
      <c r="M114" s="8" t="s">
        <v>777</v>
      </c>
      <c r="P114" s="4"/>
    </row>
    <row r="115" spans="1:16" x14ac:dyDescent="0.3">
      <c r="A115" s="1">
        <v>140003</v>
      </c>
      <c r="B115" s="1">
        <v>14</v>
      </c>
      <c r="C115" s="1" t="s">
        <v>51</v>
      </c>
      <c r="D115" t="s">
        <v>134</v>
      </c>
      <c r="E115" s="1" t="s">
        <v>58</v>
      </c>
      <c r="F115" s="1" t="s">
        <v>58</v>
      </c>
      <c r="G115" s="8" t="s">
        <v>136</v>
      </c>
      <c r="H115" s="9" t="s">
        <v>58</v>
      </c>
      <c r="I115" s="10" t="s">
        <v>62</v>
      </c>
      <c r="J115" s="1">
        <v>130003</v>
      </c>
      <c r="K115" s="1" t="s">
        <v>135</v>
      </c>
      <c r="M115" s="8" t="s">
        <v>62</v>
      </c>
      <c r="P115" s="4"/>
    </row>
    <row r="116" spans="1:16" x14ac:dyDescent="0.3">
      <c r="A116" s="1">
        <v>140004</v>
      </c>
      <c r="B116" s="1">
        <v>14</v>
      </c>
      <c r="C116" s="1" t="s">
        <v>51</v>
      </c>
      <c r="D116" t="s">
        <v>70</v>
      </c>
      <c r="E116" s="1" t="s">
        <v>58</v>
      </c>
      <c r="F116" s="1" t="s">
        <v>58</v>
      </c>
      <c r="I116" s="10" t="s">
        <v>778</v>
      </c>
      <c r="J116" s="1">
        <v>130003</v>
      </c>
      <c r="K116" s="1" t="s">
        <v>135</v>
      </c>
      <c r="M116" s="8" t="s">
        <v>778</v>
      </c>
      <c r="P116" s="4"/>
    </row>
    <row r="117" spans="1:16" x14ac:dyDescent="0.3">
      <c r="A117" s="1">
        <v>140005</v>
      </c>
      <c r="B117" s="1">
        <v>14</v>
      </c>
      <c r="C117" s="1" t="s">
        <v>51</v>
      </c>
      <c r="D117" t="s">
        <v>71</v>
      </c>
      <c r="E117" s="1" t="s">
        <v>58</v>
      </c>
      <c r="F117" s="1" t="s">
        <v>58</v>
      </c>
      <c r="I117" s="10" t="s">
        <v>778</v>
      </c>
      <c r="J117" s="1">
        <v>130003</v>
      </c>
      <c r="K117" s="1" t="s">
        <v>135</v>
      </c>
      <c r="M117" s="8" t="s">
        <v>778</v>
      </c>
      <c r="P117" s="4"/>
    </row>
    <row r="118" spans="1:16" x14ac:dyDescent="0.3">
      <c r="A118" s="1">
        <v>140006</v>
      </c>
      <c r="B118" s="1">
        <v>14</v>
      </c>
      <c r="C118" s="1" t="s">
        <v>51</v>
      </c>
      <c r="D118" t="s">
        <v>754</v>
      </c>
      <c r="E118" s="1" t="s">
        <v>58</v>
      </c>
      <c r="F118" s="1" t="s">
        <v>58</v>
      </c>
      <c r="I118" s="10" t="s">
        <v>58</v>
      </c>
      <c r="J118" s="1">
        <v>130004</v>
      </c>
      <c r="K118" s="1" t="s">
        <v>193</v>
      </c>
      <c r="M118" s="8" t="s">
        <v>777</v>
      </c>
      <c r="P118" s="4"/>
    </row>
    <row r="119" spans="1:16" x14ac:dyDescent="0.3">
      <c r="A119" s="1">
        <v>140007</v>
      </c>
      <c r="B119" s="1">
        <v>14</v>
      </c>
      <c r="C119" s="1" t="s">
        <v>51</v>
      </c>
      <c r="D119" t="s">
        <v>195</v>
      </c>
      <c r="E119" s="1" t="s">
        <v>58</v>
      </c>
      <c r="F119" s="1" t="s">
        <v>58</v>
      </c>
      <c r="I119" s="10" t="s">
        <v>58</v>
      </c>
      <c r="J119" s="1">
        <v>130004</v>
      </c>
      <c r="K119" s="1" t="s">
        <v>194</v>
      </c>
      <c r="M119" s="8" t="s">
        <v>777</v>
      </c>
      <c r="P119" s="4"/>
    </row>
    <row r="120" spans="1:16" x14ac:dyDescent="0.3">
      <c r="A120" s="1">
        <v>140008</v>
      </c>
      <c r="B120" s="1">
        <v>14</v>
      </c>
      <c r="C120" s="1" t="s">
        <v>51</v>
      </c>
      <c r="D120" t="s">
        <v>206</v>
      </c>
      <c r="E120" s="1" t="s">
        <v>58</v>
      </c>
      <c r="F120" s="1" t="s">
        <v>58</v>
      </c>
      <c r="G120" s="8" t="s">
        <v>58</v>
      </c>
      <c r="H120" s="9" t="s">
        <v>763</v>
      </c>
      <c r="I120" s="10" t="s">
        <v>62</v>
      </c>
      <c r="J120" s="1">
        <v>130005</v>
      </c>
      <c r="K120" s="1" t="s">
        <v>204</v>
      </c>
      <c r="M120" s="8" t="s">
        <v>62</v>
      </c>
      <c r="P120" s="4"/>
    </row>
    <row r="121" spans="1:16" x14ac:dyDescent="0.3">
      <c r="A121" s="1">
        <v>140014</v>
      </c>
      <c r="B121" s="1">
        <v>14</v>
      </c>
      <c r="C121" s="1" t="s">
        <v>51</v>
      </c>
      <c r="D121" t="s">
        <v>248</v>
      </c>
      <c r="E121" s="1" t="s">
        <v>58</v>
      </c>
      <c r="F121" s="1" t="s">
        <v>58</v>
      </c>
      <c r="G121" s="8" t="s">
        <v>249</v>
      </c>
      <c r="H121" s="9" t="s">
        <v>250</v>
      </c>
      <c r="I121" s="10" t="s">
        <v>778</v>
      </c>
      <c r="J121" s="1">
        <v>130007</v>
      </c>
      <c r="K121" s="1" t="s">
        <v>244</v>
      </c>
      <c r="M121" s="8" t="s">
        <v>778</v>
      </c>
      <c r="P121" s="4"/>
    </row>
    <row r="122" spans="1:16" x14ac:dyDescent="0.3">
      <c r="A122" s="1">
        <v>140009</v>
      </c>
      <c r="B122" s="1">
        <v>14</v>
      </c>
      <c r="C122" s="1" t="s">
        <v>51</v>
      </c>
      <c r="D122" t="s">
        <v>286</v>
      </c>
      <c r="E122" s="1" t="s">
        <v>58</v>
      </c>
      <c r="F122" s="1" t="s">
        <v>58</v>
      </c>
      <c r="G122" s="8" t="s">
        <v>290</v>
      </c>
      <c r="H122" s="9" t="s">
        <v>291</v>
      </c>
      <c r="I122" s="10" t="s">
        <v>58</v>
      </c>
      <c r="J122" s="1">
        <v>130008</v>
      </c>
      <c r="K122" s="1" t="s">
        <v>282</v>
      </c>
      <c r="M122" s="8" t="s">
        <v>777</v>
      </c>
      <c r="P122" s="4"/>
    </row>
    <row r="123" spans="1:16" x14ac:dyDescent="0.3">
      <c r="A123" s="1">
        <v>140010</v>
      </c>
      <c r="B123" s="1">
        <v>14</v>
      </c>
      <c r="C123" s="1" t="s">
        <v>51</v>
      </c>
      <c r="D123" t="s">
        <v>287</v>
      </c>
      <c r="E123" s="1" t="s">
        <v>58</v>
      </c>
      <c r="F123" s="1" t="s">
        <v>58</v>
      </c>
      <c r="G123" s="8" t="s">
        <v>58</v>
      </c>
      <c r="H123" s="9" t="s">
        <v>294</v>
      </c>
      <c r="I123" s="10" t="s">
        <v>58</v>
      </c>
      <c r="J123" s="1">
        <v>130008</v>
      </c>
      <c r="K123" s="1" t="s">
        <v>282</v>
      </c>
      <c r="M123" s="8" t="s">
        <v>777</v>
      </c>
      <c r="P123" s="4"/>
    </row>
    <row r="124" spans="1:16" x14ac:dyDescent="0.3">
      <c r="A124" s="1">
        <v>140011</v>
      </c>
      <c r="B124" s="1">
        <v>14</v>
      </c>
      <c r="C124" s="1" t="s">
        <v>51</v>
      </c>
      <c r="D124" t="s">
        <v>288</v>
      </c>
      <c r="E124" s="1" t="s">
        <v>58</v>
      </c>
      <c r="F124" s="1" t="s">
        <v>58</v>
      </c>
      <c r="I124" s="10" t="s">
        <v>58</v>
      </c>
      <c r="J124" s="1">
        <v>130008</v>
      </c>
      <c r="K124" s="1" t="s">
        <v>282</v>
      </c>
      <c r="M124" s="8" t="s">
        <v>777</v>
      </c>
      <c r="P124" s="4"/>
    </row>
    <row r="125" spans="1:16" x14ac:dyDescent="0.3">
      <c r="A125" s="1">
        <v>140012</v>
      </c>
      <c r="B125" s="1">
        <v>14</v>
      </c>
      <c r="C125" s="1" t="s">
        <v>51</v>
      </c>
      <c r="D125" t="s">
        <v>289</v>
      </c>
      <c r="E125" s="1" t="s">
        <v>58</v>
      </c>
      <c r="F125" s="1" t="s">
        <v>58</v>
      </c>
      <c r="I125" s="10" t="s">
        <v>58</v>
      </c>
      <c r="J125" s="1">
        <v>130008</v>
      </c>
      <c r="K125" s="1" t="s">
        <v>282</v>
      </c>
      <c r="M125" s="8" t="s">
        <v>777</v>
      </c>
      <c r="P125" s="4"/>
    </row>
    <row r="126" spans="1:16" x14ac:dyDescent="0.3">
      <c r="A126" s="1">
        <v>140013</v>
      </c>
      <c r="B126" s="1">
        <v>14</v>
      </c>
      <c r="C126" s="1" t="s">
        <v>51</v>
      </c>
      <c r="D126" t="s">
        <v>376</v>
      </c>
      <c r="E126" s="1" t="s">
        <v>58</v>
      </c>
      <c r="F126" s="1" t="s">
        <v>58</v>
      </c>
      <c r="H126" s="9" t="s">
        <v>789</v>
      </c>
      <c r="I126" s="10" t="s">
        <v>778</v>
      </c>
      <c r="J126" s="1">
        <v>130010</v>
      </c>
      <c r="K126" s="1" t="s">
        <v>371</v>
      </c>
      <c r="M126" s="8" t="s">
        <v>778</v>
      </c>
      <c r="P126" s="4"/>
    </row>
    <row r="127" spans="1:16" x14ac:dyDescent="0.3">
      <c r="A127" s="1">
        <v>140015</v>
      </c>
      <c r="B127" s="1">
        <v>14</v>
      </c>
      <c r="C127" s="1" t="s">
        <v>51</v>
      </c>
      <c r="D127" t="s">
        <v>829</v>
      </c>
      <c r="E127" s="1">
        <v>1</v>
      </c>
      <c r="J127" s="1">
        <v>130002</v>
      </c>
      <c r="K127" s="1" t="s">
        <v>121</v>
      </c>
      <c r="P127" s="4"/>
    </row>
    <row r="128" spans="1:16" x14ac:dyDescent="0.3">
      <c r="A128" s="1">
        <v>140016</v>
      </c>
      <c r="B128" s="1">
        <v>14</v>
      </c>
      <c r="C128" s="1" t="s">
        <v>51</v>
      </c>
      <c r="D128" t="s">
        <v>829</v>
      </c>
      <c r="E128" s="1">
        <v>1</v>
      </c>
      <c r="J128" s="1">
        <v>130010</v>
      </c>
      <c r="K128" s="1" t="s">
        <v>370</v>
      </c>
      <c r="P128" s="4"/>
    </row>
    <row r="129" spans="1:16" x14ac:dyDescent="0.3">
      <c r="A129" s="1" t="s">
        <v>66</v>
      </c>
      <c r="B129" s="1">
        <v>14</v>
      </c>
      <c r="D129" t="s">
        <v>67</v>
      </c>
      <c r="E129" s="1" t="s">
        <v>58</v>
      </c>
      <c r="F129" s="1" t="s">
        <v>58</v>
      </c>
      <c r="G129" s="8" t="s">
        <v>69</v>
      </c>
      <c r="H129" s="9" t="s">
        <v>58</v>
      </c>
      <c r="I129" s="10" t="s">
        <v>62</v>
      </c>
      <c r="L129" s="1">
        <v>140001</v>
      </c>
      <c r="M129" s="10" t="s">
        <v>62</v>
      </c>
      <c r="N129" s="7"/>
      <c r="P129" s="1">
        <v>1</v>
      </c>
    </row>
    <row r="130" spans="1:16" x14ac:dyDescent="0.3">
      <c r="A130" s="1" t="s">
        <v>56</v>
      </c>
      <c r="B130" s="1">
        <v>14</v>
      </c>
      <c r="D130" t="s">
        <v>57</v>
      </c>
      <c r="E130" s="1">
        <v>1910</v>
      </c>
      <c r="F130" s="1">
        <v>1999</v>
      </c>
      <c r="H130" s="9" t="s">
        <v>58</v>
      </c>
      <c r="I130" s="10" t="s">
        <v>62</v>
      </c>
      <c r="L130" s="1">
        <v>140001</v>
      </c>
      <c r="M130" s="10" t="s">
        <v>62</v>
      </c>
      <c r="N130" s="7"/>
      <c r="P130" s="1">
        <v>2</v>
      </c>
    </row>
    <row r="131" spans="1:16" x14ac:dyDescent="0.3">
      <c r="A131" s="1" t="s">
        <v>130</v>
      </c>
      <c r="B131" s="1">
        <v>14</v>
      </c>
      <c r="D131" t="s">
        <v>131</v>
      </c>
      <c r="E131" s="1" t="s">
        <v>58</v>
      </c>
      <c r="F131" s="1" t="s">
        <v>58</v>
      </c>
      <c r="G131" s="8" t="s">
        <v>132</v>
      </c>
      <c r="I131" s="10" t="s">
        <v>58</v>
      </c>
      <c r="L131" s="1">
        <v>140002</v>
      </c>
      <c r="M131" s="8" t="s">
        <v>777</v>
      </c>
      <c r="P131" s="1">
        <v>1</v>
      </c>
    </row>
    <row r="132" spans="1:16" x14ac:dyDescent="0.3">
      <c r="A132" s="1" t="s">
        <v>137</v>
      </c>
      <c r="B132" s="1">
        <v>14</v>
      </c>
      <c r="D132" t="s">
        <v>138</v>
      </c>
      <c r="E132" s="1" t="s">
        <v>58</v>
      </c>
      <c r="F132" s="1" t="s">
        <v>58</v>
      </c>
      <c r="G132" s="8" t="s">
        <v>58</v>
      </c>
      <c r="H132" s="9" t="s">
        <v>58</v>
      </c>
      <c r="I132" s="10" t="s">
        <v>62</v>
      </c>
      <c r="L132" s="1">
        <v>140003</v>
      </c>
      <c r="M132" s="8" t="s">
        <v>62</v>
      </c>
      <c r="P132" s="1">
        <v>1</v>
      </c>
    </row>
    <row r="133" spans="1:16" x14ac:dyDescent="0.3">
      <c r="A133" s="1" t="s">
        <v>143</v>
      </c>
      <c r="B133" s="1">
        <v>14</v>
      </c>
      <c r="D133" t="s">
        <v>144</v>
      </c>
      <c r="E133" s="1">
        <v>1926</v>
      </c>
      <c r="F133" s="1">
        <v>2020</v>
      </c>
      <c r="G133" s="8" t="s">
        <v>58</v>
      </c>
      <c r="H133" s="9" t="s">
        <v>764</v>
      </c>
      <c r="I133" s="10" t="s">
        <v>778</v>
      </c>
      <c r="L133" s="1">
        <v>140004</v>
      </c>
      <c r="M133" s="10" t="s">
        <v>778</v>
      </c>
      <c r="N133" s="7"/>
      <c r="P133" s="1">
        <v>1</v>
      </c>
    </row>
    <row r="134" spans="1:16" x14ac:dyDescent="0.3">
      <c r="A134" s="1" t="s">
        <v>165</v>
      </c>
      <c r="B134" s="1">
        <v>14</v>
      </c>
      <c r="D134" t="s">
        <v>166</v>
      </c>
      <c r="E134" s="1" t="s">
        <v>58</v>
      </c>
      <c r="F134" s="1" t="s">
        <v>58</v>
      </c>
      <c r="G134" s="8" t="s">
        <v>58</v>
      </c>
      <c r="H134" s="9" t="s">
        <v>58</v>
      </c>
      <c r="I134" s="10" t="s">
        <v>778</v>
      </c>
      <c r="L134" s="1">
        <v>140005</v>
      </c>
      <c r="M134" s="8" t="s">
        <v>778</v>
      </c>
      <c r="P134" s="1">
        <v>1</v>
      </c>
    </row>
    <row r="135" spans="1:16" x14ac:dyDescent="0.3">
      <c r="A135" s="1" t="s">
        <v>840</v>
      </c>
      <c r="B135" s="1">
        <v>14</v>
      </c>
      <c r="D135" t="s">
        <v>829</v>
      </c>
      <c r="L135" s="1">
        <v>140006</v>
      </c>
      <c r="P135" s="1">
        <v>1</v>
      </c>
    </row>
    <row r="136" spans="1:16" x14ac:dyDescent="0.3">
      <c r="A136" s="1" t="s">
        <v>196</v>
      </c>
      <c r="B136" s="1">
        <v>14</v>
      </c>
      <c r="D136" t="s">
        <v>197</v>
      </c>
      <c r="E136" s="1" t="s">
        <v>58</v>
      </c>
      <c r="F136" s="1" t="s">
        <v>58</v>
      </c>
      <c r="G136" s="8" t="s">
        <v>198</v>
      </c>
      <c r="H136" s="9" t="s">
        <v>58</v>
      </c>
      <c r="I136" s="10" t="s">
        <v>58</v>
      </c>
      <c r="L136" s="1">
        <v>140007</v>
      </c>
      <c r="M136" s="8" t="s">
        <v>777</v>
      </c>
      <c r="P136" s="1">
        <v>1</v>
      </c>
    </row>
    <row r="137" spans="1:16" x14ac:dyDescent="0.3">
      <c r="A137" s="1" t="s">
        <v>207</v>
      </c>
      <c r="B137" s="1">
        <v>14</v>
      </c>
      <c r="D137" t="s">
        <v>768</v>
      </c>
      <c r="E137" s="1" t="s">
        <v>58</v>
      </c>
      <c r="F137" s="1" t="s">
        <v>58</v>
      </c>
      <c r="G137" s="8" t="s">
        <v>802</v>
      </c>
      <c r="H137" s="9" t="s">
        <v>801</v>
      </c>
      <c r="I137" s="10" t="s">
        <v>62</v>
      </c>
      <c r="L137" s="1">
        <v>140008</v>
      </c>
      <c r="M137" s="8" t="s">
        <v>62</v>
      </c>
      <c r="P137" s="1">
        <v>1</v>
      </c>
    </row>
    <row r="138" spans="1:16" x14ac:dyDescent="0.3">
      <c r="A138" s="1" t="s">
        <v>841</v>
      </c>
      <c r="B138" s="1">
        <v>14</v>
      </c>
      <c r="D138" t="s">
        <v>829</v>
      </c>
      <c r="L138" s="1">
        <v>140009</v>
      </c>
      <c r="P138" s="1">
        <v>1</v>
      </c>
    </row>
    <row r="139" spans="1:16" x14ac:dyDescent="0.3">
      <c r="A139" s="1" t="s">
        <v>292</v>
      </c>
      <c r="B139" s="1">
        <v>14</v>
      </c>
      <c r="D139" t="s">
        <v>293</v>
      </c>
      <c r="E139" s="1" t="s">
        <v>58</v>
      </c>
      <c r="F139" s="1" t="s">
        <v>58</v>
      </c>
      <c r="G139" s="8" t="s">
        <v>58</v>
      </c>
      <c r="I139" s="10" t="s">
        <v>58</v>
      </c>
      <c r="L139" s="1">
        <v>140010</v>
      </c>
      <c r="M139" s="8" t="s">
        <v>777</v>
      </c>
      <c r="P139" s="1">
        <v>1</v>
      </c>
    </row>
    <row r="140" spans="1:16" x14ac:dyDescent="0.3">
      <c r="A140" s="1" t="s">
        <v>307</v>
      </c>
      <c r="B140" s="1">
        <v>14</v>
      </c>
      <c r="D140" t="s">
        <v>310</v>
      </c>
      <c r="E140" s="1" t="s">
        <v>58</v>
      </c>
      <c r="F140" s="1" t="s">
        <v>58</v>
      </c>
      <c r="G140" s="8" t="s">
        <v>58</v>
      </c>
      <c r="H140" s="9" t="s">
        <v>58</v>
      </c>
      <c r="I140" s="10" t="s">
        <v>778</v>
      </c>
      <c r="L140" s="1">
        <v>140010</v>
      </c>
      <c r="M140" s="10" t="s">
        <v>778</v>
      </c>
      <c r="N140" s="7"/>
      <c r="P140" s="1">
        <v>2</v>
      </c>
    </row>
    <row r="141" spans="1:16" x14ac:dyDescent="0.3">
      <c r="A141" s="1" t="s">
        <v>317</v>
      </c>
      <c r="B141" s="1">
        <v>14</v>
      </c>
      <c r="D141" t="s">
        <v>318</v>
      </c>
      <c r="E141" s="1" t="s">
        <v>58</v>
      </c>
      <c r="F141" s="1" t="s">
        <v>58</v>
      </c>
      <c r="G141" s="1" t="s">
        <v>58</v>
      </c>
      <c r="H141" s="1" t="s">
        <v>58</v>
      </c>
      <c r="I141" s="10" t="s">
        <v>58</v>
      </c>
      <c r="L141" s="1">
        <v>140011</v>
      </c>
      <c r="M141" s="8" t="s">
        <v>777</v>
      </c>
      <c r="P141" s="1">
        <v>1</v>
      </c>
    </row>
    <row r="142" spans="1:16" x14ac:dyDescent="0.3">
      <c r="A142" s="1" t="s">
        <v>329</v>
      </c>
      <c r="B142" s="1">
        <v>14</v>
      </c>
      <c r="D142" t="s">
        <v>330</v>
      </c>
      <c r="E142" s="1" t="s">
        <v>58</v>
      </c>
      <c r="F142" s="1">
        <v>2002</v>
      </c>
      <c r="G142" s="1" t="s">
        <v>58</v>
      </c>
      <c r="H142" s="1" t="s">
        <v>757</v>
      </c>
      <c r="I142" s="8" t="s">
        <v>778</v>
      </c>
      <c r="L142" s="1">
        <v>140012</v>
      </c>
      <c r="M142" s="10" t="s">
        <v>778</v>
      </c>
      <c r="N142" s="7"/>
      <c r="P142" s="1">
        <v>1</v>
      </c>
    </row>
    <row r="143" spans="1:16" x14ac:dyDescent="0.3">
      <c r="A143" s="1" t="s">
        <v>677</v>
      </c>
      <c r="B143" s="1">
        <v>14</v>
      </c>
      <c r="D143" t="s">
        <v>251</v>
      </c>
      <c r="E143" s="1" t="s">
        <v>58</v>
      </c>
      <c r="F143" s="1" t="s">
        <v>58</v>
      </c>
      <c r="G143" s="8" t="s">
        <v>252</v>
      </c>
      <c r="H143" s="9" t="s">
        <v>253</v>
      </c>
      <c r="I143" s="8" t="s">
        <v>778</v>
      </c>
      <c r="L143" s="1">
        <v>140014</v>
      </c>
      <c r="M143" s="8" t="s">
        <v>778</v>
      </c>
      <c r="P143" s="1">
        <v>1</v>
      </c>
    </row>
    <row r="144" spans="1:16" x14ac:dyDescent="0.3">
      <c r="A144" s="1">
        <v>150001</v>
      </c>
      <c r="B144" s="1">
        <v>15</v>
      </c>
      <c r="C144" s="1" t="s">
        <v>51</v>
      </c>
      <c r="D144" t="s">
        <v>6</v>
      </c>
      <c r="E144" s="1">
        <v>1945</v>
      </c>
      <c r="G144" s="8" t="s">
        <v>34</v>
      </c>
      <c r="J144" s="1">
        <v>140001</v>
      </c>
      <c r="K144" s="1" t="s">
        <v>56</v>
      </c>
      <c r="N144" s="8"/>
      <c r="O144"/>
      <c r="P144"/>
    </row>
    <row r="145" spans="1:16" x14ac:dyDescent="0.3">
      <c r="A145" s="1">
        <v>150002</v>
      </c>
      <c r="B145" s="1">
        <v>15</v>
      </c>
      <c r="C145" s="1" t="s">
        <v>51</v>
      </c>
      <c r="D145" t="s">
        <v>9</v>
      </c>
      <c r="E145" s="1">
        <v>1953</v>
      </c>
      <c r="J145" s="1">
        <v>140001</v>
      </c>
      <c r="K145" s="1" t="s">
        <v>56</v>
      </c>
      <c r="N145" s="8"/>
      <c r="O145"/>
      <c r="P145"/>
    </row>
    <row r="146" spans="1:16" x14ac:dyDescent="0.3">
      <c r="A146" s="1" t="s">
        <v>52</v>
      </c>
      <c r="B146" s="1">
        <v>15</v>
      </c>
      <c r="D146" t="s">
        <v>53</v>
      </c>
      <c r="E146" s="1">
        <v>1943</v>
      </c>
      <c r="F146" s="1" t="s">
        <v>58</v>
      </c>
      <c r="I146" s="10" t="s">
        <v>58</v>
      </c>
      <c r="J146" s="1">
        <v>140001</v>
      </c>
      <c r="K146" s="1" t="s">
        <v>56</v>
      </c>
      <c r="M146" s="8" t="s">
        <v>777</v>
      </c>
      <c r="P146" s="4"/>
    </row>
    <row r="147" spans="1:16" x14ac:dyDescent="0.3">
      <c r="A147" s="1" t="s">
        <v>54</v>
      </c>
      <c r="B147" s="1">
        <v>15</v>
      </c>
      <c r="D147" t="s">
        <v>55</v>
      </c>
      <c r="E147" s="1">
        <v>1950</v>
      </c>
      <c r="J147" s="1">
        <v>140001</v>
      </c>
      <c r="K147" s="1" t="s">
        <v>56</v>
      </c>
      <c r="N147" s="8"/>
      <c r="O147"/>
      <c r="P147"/>
    </row>
    <row r="148" spans="1:16" x14ac:dyDescent="0.3">
      <c r="A148" s="1">
        <v>150003</v>
      </c>
      <c r="B148" s="1">
        <v>15</v>
      </c>
      <c r="C148" s="1" t="s">
        <v>51</v>
      </c>
      <c r="D148" t="s">
        <v>139</v>
      </c>
      <c r="E148" s="1" t="s">
        <v>58</v>
      </c>
      <c r="J148" s="1">
        <v>140003</v>
      </c>
      <c r="K148" s="1" t="s">
        <v>137</v>
      </c>
      <c r="N148" s="8"/>
      <c r="O148"/>
      <c r="P148"/>
    </row>
    <row r="149" spans="1:16" x14ac:dyDescent="0.3">
      <c r="A149" s="1">
        <v>150004</v>
      </c>
      <c r="B149" s="1">
        <v>15</v>
      </c>
      <c r="C149" s="1" t="s">
        <v>51</v>
      </c>
      <c r="D149" t="s">
        <v>145</v>
      </c>
      <c r="E149" s="1">
        <v>1</v>
      </c>
      <c r="F149" s="1" t="s">
        <v>58</v>
      </c>
      <c r="G149" s="8" t="s">
        <v>58</v>
      </c>
      <c r="H149" s="9" t="s">
        <v>58</v>
      </c>
      <c r="I149" s="10" t="s">
        <v>58</v>
      </c>
      <c r="J149" s="1">
        <v>140004</v>
      </c>
      <c r="K149" s="1" t="s">
        <v>143</v>
      </c>
      <c r="M149" s="8" t="s">
        <v>777</v>
      </c>
      <c r="P149" s="4"/>
    </row>
    <row r="150" spans="1:16" x14ac:dyDescent="0.3">
      <c r="A150" s="1">
        <v>150005</v>
      </c>
      <c r="B150" s="1">
        <v>15</v>
      </c>
      <c r="C150" s="1" t="s">
        <v>51</v>
      </c>
      <c r="D150" t="s">
        <v>146</v>
      </c>
      <c r="E150" s="1">
        <v>2</v>
      </c>
      <c r="F150" s="1" t="s">
        <v>58</v>
      </c>
      <c r="G150" s="8" t="s">
        <v>58</v>
      </c>
      <c r="H150" s="9" t="s">
        <v>58</v>
      </c>
      <c r="I150" s="10" t="s">
        <v>58</v>
      </c>
      <c r="J150" s="1">
        <v>140004</v>
      </c>
      <c r="K150" s="1" t="s">
        <v>143</v>
      </c>
      <c r="M150" s="8" t="s">
        <v>777</v>
      </c>
      <c r="P150" s="4"/>
    </row>
    <row r="151" spans="1:16" x14ac:dyDescent="0.3">
      <c r="A151" s="1">
        <v>150006</v>
      </c>
      <c r="B151" s="1">
        <v>15</v>
      </c>
      <c r="C151" s="1" t="s">
        <v>51</v>
      </c>
      <c r="D151" t="s">
        <v>147</v>
      </c>
      <c r="E151" s="1">
        <v>1957</v>
      </c>
      <c r="J151" s="1">
        <v>140004</v>
      </c>
      <c r="K151" s="1" t="s">
        <v>143</v>
      </c>
      <c r="N151" s="8"/>
      <c r="O151"/>
      <c r="P151"/>
    </row>
    <row r="152" spans="1:16" x14ac:dyDescent="0.3">
      <c r="A152" s="1">
        <v>150007</v>
      </c>
      <c r="B152" s="1">
        <v>15</v>
      </c>
      <c r="C152" s="1" t="s">
        <v>51</v>
      </c>
      <c r="D152" t="s">
        <v>148</v>
      </c>
      <c r="E152" s="1">
        <v>1961</v>
      </c>
      <c r="J152" s="1">
        <v>140004</v>
      </c>
      <c r="K152" s="1" t="s">
        <v>143</v>
      </c>
      <c r="N152" s="8"/>
      <c r="O152"/>
      <c r="P152"/>
    </row>
    <row r="153" spans="1:16" x14ac:dyDescent="0.3">
      <c r="A153" s="1">
        <v>150008</v>
      </c>
      <c r="B153" s="1">
        <v>15</v>
      </c>
      <c r="C153" s="1" t="s">
        <v>51</v>
      </c>
      <c r="D153" t="s">
        <v>149</v>
      </c>
      <c r="E153" s="1">
        <v>1964</v>
      </c>
      <c r="J153" s="1">
        <v>140004</v>
      </c>
      <c r="K153" s="1" t="s">
        <v>143</v>
      </c>
      <c r="N153" s="8"/>
      <c r="O153"/>
      <c r="P153"/>
    </row>
    <row r="154" spans="1:16" x14ac:dyDescent="0.3">
      <c r="A154" s="1">
        <v>150009</v>
      </c>
      <c r="B154" s="1">
        <v>15</v>
      </c>
      <c r="C154" s="1" t="s">
        <v>51</v>
      </c>
      <c r="D154" t="s">
        <v>150</v>
      </c>
      <c r="E154" s="1">
        <v>1974</v>
      </c>
      <c r="J154" s="1">
        <v>140004</v>
      </c>
      <c r="K154" s="1" t="s">
        <v>143</v>
      </c>
      <c r="N154" s="8"/>
      <c r="O154"/>
      <c r="P154"/>
    </row>
    <row r="155" spans="1:16" x14ac:dyDescent="0.3">
      <c r="A155" s="1">
        <v>150010</v>
      </c>
      <c r="B155" s="1">
        <v>15</v>
      </c>
      <c r="C155" s="1" t="s">
        <v>51</v>
      </c>
      <c r="D155" t="s">
        <v>803</v>
      </c>
      <c r="E155" s="1">
        <v>1</v>
      </c>
      <c r="F155" s="1" t="s">
        <v>58</v>
      </c>
      <c r="G155" s="8" t="s">
        <v>167</v>
      </c>
      <c r="H155" s="9" t="s">
        <v>58</v>
      </c>
      <c r="I155" s="10" t="s">
        <v>168</v>
      </c>
      <c r="J155" s="1">
        <v>140005</v>
      </c>
      <c r="K155" s="1" t="s">
        <v>165</v>
      </c>
      <c r="M155" s="8" t="s">
        <v>777</v>
      </c>
      <c r="P155" s="4"/>
    </row>
    <row r="156" spans="1:16" x14ac:dyDescent="0.3">
      <c r="A156" s="1">
        <v>150011</v>
      </c>
      <c r="B156" s="1">
        <v>15</v>
      </c>
      <c r="C156" s="1" t="s">
        <v>51</v>
      </c>
      <c r="D156" t="s">
        <v>169</v>
      </c>
      <c r="E156" s="1">
        <v>1956</v>
      </c>
      <c r="G156" s="8" t="s">
        <v>170</v>
      </c>
      <c r="J156" s="1">
        <v>140005</v>
      </c>
      <c r="K156" s="1" t="s">
        <v>165</v>
      </c>
      <c r="N156" s="8"/>
      <c r="O156"/>
      <c r="P156"/>
    </row>
    <row r="157" spans="1:16" x14ac:dyDescent="0.3">
      <c r="A157" s="1">
        <v>150012</v>
      </c>
      <c r="B157" s="1">
        <v>15</v>
      </c>
      <c r="C157" s="1" t="s">
        <v>51</v>
      </c>
      <c r="D157" t="s">
        <v>171</v>
      </c>
      <c r="E157" s="1">
        <v>1960</v>
      </c>
      <c r="J157" s="1">
        <v>140005</v>
      </c>
      <c r="K157" s="1" t="s">
        <v>165</v>
      </c>
      <c r="N157" s="8"/>
      <c r="O157"/>
      <c r="P157"/>
    </row>
    <row r="158" spans="1:16" x14ac:dyDescent="0.3">
      <c r="A158" s="1">
        <v>150013</v>
      </c>
      <c r="B158" s="1">
        <v>15</v>
      </c>
      <c r="C158" s="1" t="s">
        <v>51</v>
      </c>
      <c r="D158" t="s">
        <v>199</v>
      </c>
      <c r="E158" s="1">
        <v>1943</v>
      </c>
      <c r="J158" s="1">
        <v>140007</v>
      </c>
      <c r="K158" s="1" t="s">
        <v>196</v>
      </c>
      <c r="N158" s="8"/>
      <c r="O158"/>
      <c r="P158"/>
    </row>
    <row r="159" spans="1:16" x14ac:dyDescent="0.3">
      <c r="A159" s="1">
        <v>150014</v>
      </c>
      <c r="B159" s="1">
        <v>15</v>
      </c>
      <c r="C159" s="1" t="s">
        <v>51</v>
      </c>
      <c r="D159" t="s">
        <v>200</v>
      </c>
      <c r="E159" s="1" t="s">
        <v>58</v>
      </c>
      <c r="F159" s="1" t="s">
        <v>58</v>
      </c>
      <c r="G159" s="8" t="s">
        <v>201</v>
      </c>
      <c r="H159" s="9" t="s">
        <v>58</v>
      </c>
      <c r="I159" s="10" t="s">
        <v>58</v>
      </c>
      <c r="J159" s="1">
        <v>140007</v>
      </c>
      <c r="K159" s="1" t="s">
        <v>196</v>
      </c>
      <c r="M159" s="8" t="s">
        <v>777</v>
      </c>
      <c r="P159" s="4"/>
    </row>
    <row r="160" spans="1:16" x14ac:dyDescent="0.3">
      <c r="A160" s="1">
        <v>150015</v>
      </c>
      <c r="B160" s="1">
        <v>15</v>
      </c>
      <c r="C160" s="1" t="s">
        <v>51</v>
      </c>
      <c r="D160" t="s">
        <v>208</v>
      </c>
      <c r="E160" s="1">
        <v>1</v>
      </c>
      <c r="F160" s="1" t="s">
        <v>58</v>
      </c>
      <c r="G160" s="8" t="s">
        <v>799</v>
      </c>
      <c r="H160" s="9" t="s">
        <v>800</v>
      </c>
      <c r="I160" s="10" t="s">
        <v>62</v>
      </c>
      <c r="J160" s="1">
        <v>140008</v>
      </c>
      <c r="K160" s="1" t="s">
        <v>207</v>
      </c>
      <c r="M160" s="8" t="s">
        <v>62</v>
      </c>
      <c r="P160" s="4"/>
    </row>
    <row r="161" spans="1:16" x14ac:dyDescent="0.3">
      <c r="A161" s="1">
        <v>150016</v>
      </c>
      <c r="B161" s="1">
        <v>15</v>
      </c>
      <c r="C161" s="1" t="s">
        <v>51</v>
      </c>
      <c r="D161" t="s">
        <v>209</v>
      </c>
      <c r="E161" s="1">
        <v>1930</v>
      </c>
      <c r="F161" s="1">
        <v>2026</v>
      </c>
      <c r="H161" s="9" t="s">
        <v>793</v>
      </c>
      <c r="I161" s="10" t="s">
        <v>778</v>
      </c>
      <c r="J161" s="1">
        <v>140008</v>
      </c>
      <c r="K161" s="1" t="s">
        <v>207</v>
      </c>
      <c r="M161" s="8" t="s">
        <v>778</v>
      </c>
      <c r="P161" s="4"/>
    </row>
    <row r="162" spans="1:16" x14ac:dyDescent="0.3">
      <c r="A162" s="1">
        <v>150017</v>
      </c>
      <c r="B162" s="1">
        <v>15</v>
      </c>
      <c r="C162" s="1" t="s">
        <v>51</v>
      </c>
      <c r="D162" t="s">
        <v>210</v>
      </c>
      <c r="E162" s="1" t="s">
        <v>58</v>
      </c>
      <c r="J162" s="1">
        <v>140008</v>
      </c>
      <c r="K162" s="1" t="s">
        <v>207</v>
      </c>
      <c r="N162" s="8"/>
      <c r="O162"/>
      <c r="P162"/>
    </row>
    <row r="163" spans="1:16" x14ac:dyDescent="0.3">
      <c r="A163" s="1">
        <v>150020</v>
      </c>
      <c r="B163" s="1">
        <v>15</v>
      </c>
      <c r="C163" s="1" t="s">
        <v>51</v>
      </c>
      <c r="D163" t="s">
        <v>295</v>
      </c>
      <c r="E163" s="1">
        <v>1</v>
      </c>
      <c r="F163" s="1" t="s">
        <v>58</v>
      </c>
      <c r="G163" s="8" t="s">
        <v>58</v>
      </c>
      <c r="I163" s="10" t="s">
        <v>58</v>
      </c>
      <c r="J163" s="1">
        <v>140010</v>
      </c>
      <c r="K163" s="1" t="s">
        <v>292</v>
      </c>
      <c r="M163" s="8" t="s">
        <v>777</v>
      </c>
      <c r="P163" s="4"/>
    </row>
    <row r="164" spans="1:16" x14ac:dyDescent="0.3">
      <c r="A164" s="1">
        <v>150021</v>
      </c>
      <c r="B164" s="1">
        <v>15</v>
      </c>
      <c r="C164" s="1" t="s">
        <v>51</v>
      </c>
      <c r="D164" t="s">
        <v>296</v>
      </c>
      <c r="E164" s="1">
        <v>1936</v>
      </c>
      <c r="F164" s="1" t="s">
        <v>58</v>
      </c>
      <c r="G164" s="8" t="s">
        <v>58</v>
      </c>
      <c r="H164" s="9" t="s">
        <v>791</v>
      </c>
      <c r="I164" s="10" t="s">
        <v>778</v>
      </c>
      <c r="J164" s="1">
        <v>140010</v>
      </c>
      <c r="K164" s="1" t="s">
        <v>292</v>
      </c>
      <c r="M164" s="8" t="s">
        <v>778</v>
      </c>
      <c r="P164" s="4"/>
    </row>
    <row r="165" spans="1:16" x14ac:dyDescent="0.3">
      <c r="A165" s="1">
        <v>150022</v>
      </c>
      <c r="B165" s="1">
        <v>15</v>
      </c>
      <c r="C165" s="1" t="s">
        <v>51</v>
      </c>
      <c r="D165" t="s">
        <v>308</v>
      </c>
      <c r="E165" s="1">
        <v>1940</v>
      </c>
      <c r="J165" s="1">
        <v>140010</v>
      </c>
      <c r="K165" s="1" t="s">
        <v>307</v>
      </c>
      <c r="N165" s="8"/>
      <c r="O165"/>
      <c r="P165"/>
    </row>
    <row r="166" spans="1:16" x14ac:dyDescent="0.3">
      <c r="A166" s="1">
        <v>150023</v>
      </c>
      <c r="B166" s="1">
        <v>15</v>
      </c>
      <c r="C166" s="1" t="s">
        <v>51</v>
      </c>
      <c r="D166" t="s">
        <v>309</v>
      </c>
      <c r="E166" s="1">
        <v>1947</v>
      </c>
      <c r="J166" s="1">
        <v>140010</v>
      </c>
      <c r="K166" s="1" t="s">
        <v>307</v>
      </c>
      <c r="N166" s="8"/>
      <c r="O166"/>
      <c r="P166"/>
    </row>
    <row r="167" spans="1:16" x14ac:dyDescent="0.3">
      <c r="A167" s="1">
        <v>150024</v>
      </c>
      <c r="B167" s="1">
        <v>15</v>
      </c>
      <c r="C167" s="1" t="s">
        <v>51</v>
      </c>
      <c r="D167" t="s">
        <v>319</v>
      </c>
      <c r="E167" s="1">
        <v>1938</v>
      </c>
      <c r="F167" s="1" t="s">
        <v>58</v>
      </c>
      <c r="G167" s="1" t="s">
        <v>58</v>
      </c>
      <c r="H167" s="1" t="s">
        <v>58</v>
      </c>
      <c r="I167" s="10" t="s">
        <v>58</v>
      </c>
      <c r="J167" s="1">
        <v>140011</v>
      </c>
      <c r="K167" s="1" t="s">
        <v>317</v>
      </c>
      <c r="M167" s="8" t="s">
        <v>777</v>
      </c>
      <c r="P167" s="4"/>
    </row>
    <row r="168" spans="1:16" x14ac:dyDescent="0.3">
      <c r="A168" s="1">
        <v>150026</v>
      </c>
      <c r="B168" s="1">
        <v>15</v>
      </c>
      <c r="C168" s="1" t="s">
        <v>51</v>
      </c>
      <c r="D168" t="s">
        <v>787</v>
      </c>
      <c r="E168" s="1" t="s">
        <v>58</v>
      </c>
      <c r="F168" s="1" t="s">
        <v>58</v>
      </c>
      <c r="H168" s="9" t="s">
        <v>114</v>
      </c>
      <c r="I168" s="10" t="s">
        <v>782</v>
      </c>
      <c r="J168" s="1">
        <v>140011</v>
      </c>
      <c r="K168" s="1" t="s">
        <v>317</v>
      </c>
      <c r="M168" s="8" t="s">
        <v>776</v>
      </c>
      <c r="P168" s="4"/>
    </row>
    <row r="169" spans="1:16" x14ac:dyDescent="0.3">
      <c r="A169" s="1" t="s">
        <v>781</v>
      </c>
      <c r="B169" s="1">
        <v>15</v>
      </c>
      <c r="D169" t="s">
        <v>780</v>
      </c>
      <c r="E169" s="1" t="s">
        <v>58</v>
      </c>
      <c r="F169" s="1" t="s">
        <v>58</v>
      </c>
      <c r="H169" s="9" t="s">
        <v>783</v>
      </c>
      <c r="I169" s="10" t="s">
        <v>782</v>
      </c>
      <c r="J169" s="1">
        <v>140011</v>
      </c>
      <c r="K169" s="1" t="s">
        <v>317</v>
      </c>
      <c r="M169" s="8" t="s">
        <v>776</v>
      </c>
      <c r="P169" s="4"/>
    </row>
    <row r="170" spans="1:16" x14ac:dyDescent="0.3">
      <c r="A170" s="1">
        <v>150025</v>
      </c>
      <c r="B170" s="1">
        <v>15</v>
      </c>
      <c r="C170" s="1" t="s">
        <v>51</v>
      </c>
      <c r="D170" t="s">
        <v>331</v>
      </c>
      <c r="E170" s="1" t="s">
        <v>58</v>
      </c>
      <c r="F170" s="1" t="s">
        <v>58</v>
      </c>
      <c r="G170" s="8" t="s">
        <v>167</v>
      </c>
      <c r="I170" s="10" t="s">
        <v>58</v>
      </c>
      <c r="J170" s="1">
        <v>140012</v>
      </c>
      <c r="K170" s="1" t="s">
        <v>329</v>
      </c>
      <c r="M170" s="8" t="s">
        <v>777</v>
      </c>
      <c r="P170" s="4"/>
    </row>
    <row r="171" spans="1:16" ht="28.8" x14ac:dyDescent="0.3">
      <c r="A171" s="1">
        <v>150018</v>
      </c>
      <c r="B171" s="1">
        <v>15</v>
      </c>
      <c r="C171" s="1" t="s">
        <v>51</v>
      </c>
      <c r="D171" t="s">
        <v>254</v>
      </c>
      <c r="E171" s="1">
        <v>1</v>
      </c>
      <c r="F171" s="1" t="s">
        <v>58</v>
      </c>
      <c r="G171" s="11" t="s">
        <v>256</v>
      </c>
      <c r="H171" s="9" t="s">
        <v>257</v>
      </c>
      <c r="I171" s="10" t="s">
        <v>62</v>
      </c>
      <c r="J171" s="1">
        <v>140014</v>
      </c>
      <c r="K171" s="1" t="s">
        <v>677</v>
      </c>
      <c r="M171" s="8" t="s">
        <v>62</v>
      </c>
      <c r="P171" s="4"/>
    </row>
    <row r="172" spans="1:16" x14ac:dyDescent="0.3">
      <c r="A172" s="1">
        <v>150019</v>
      </c>
      <c r="B172" s="1">
        <v>15</v>
      </c>
      <c r="C172" s="1" t="s">
        <v>51</v>
      </c>
      <c r="D172" t="s">
        <v>255</v>
      </c>
      <c r="E172" s="1">
        <v>1945</v>
      </c>
      <c r="F172" s="1">
        <v>2014</v>
      </c>
      <c r="G172" s="8" t="s">
        <v>258</v>
      </c>
      <c r="H172" s="9" t="s">
        <v>259</v>
      </c>
      <c r="I172" s="10" t="s">
        <v>62</v>
      </c>
      <c r="J172" s="1">
        <v>140014</v>
      </c>
      <c r="K172" s="1" t="s">
        <v>677</v>
      </c>
      <c r="M172" s="8" t="s">
        <v>62</v>
      </c>
      <c r="P172" s="4"/>
    </row>
    <row r="173" spans="1:16" x14ac:dyDescent="0.3">
      <c r="A173" s="1">
        <v>150027</v>
      </c>
      <c r="B173" s="1">
        <v>15</v>
      </c>
      <c r="C173" s="1" t="s">
        <v>51</v>
      </c>
      <c r="D173" t="s">
        <v>829</v>
      </c>
      <c r="E173" s="1">
        <v>1</v>
      </c>
      <c r="J173" s="1">
        <v>140001</v>
      </c>
      <c r="K173" s="1" t="s">
        <v>66</v>
      </c>
      <c r="P173" s="4"/>
    </row>
    <row r="174" spans="1:16" x14ac:dyDescent="0.3">
      <c r="A174" s="1">
        <v>150028</v>
      </c>
      <c r="B174" s="1">
        <v>15</v>
      </c>
      <c r="C174" s="1" t="s">
        <v>51</v>
      </c>
      <c r="D174" t="s">
        <v>829</v>
      </c>
      <c r="E174" s="1">
        <v>1</v>
      </c>
      <c r="J174" s="1">
        <v>140002</v>
      </c>
      <c r="K174" s="1" t="s">
        <v>130</v>
      </c>
      <c r="P174" s="4"/>
    </row>
    <row r="175" spans="1:16" x14ac:dyDescent="0.3">
      <c r="A175" s="1" t="s">
        <v>8</v>
      </c>
      <c r="B175" s="1">
        <v>15</v>
      </c>
      <c r="D175" t="s">
        <v>7</v>
      </c>
      <c r="E175" s="1">
        <v>1953</v>
      </c>
      <c r="G175" s="8" t="s">
        <v>397</v>
      </c>
      <c r="L175" s="1">
        <v>150001</v>
      </c>
      <c r="N175" s="8"/>
      <c r="O175"/>
      <c r="P175" s="1">
        <v>1</v>
      </c>
    </row>
    <row r="176" spans="1:16" x14ac:dyDescent="0.3">
      <c r="A176" s="1" t="s">
        <v>10</v>
      </c>
      <c r="B176" s="1">
        <v>15</v>
      </c>
      <c r="D176" t="s">
        <v>11</v>
      </c>
      <c r="E176" s="1">
        <v>1958</v>
      </c>
      <c r="G176" s="8" t="s">
        <v>398</v>
      </c>
      <c r="L176" s="1">
        <v>150002</v>
      </c>
      <c r="N176" s="8"/>
      <c r="O176"/>
      <c r="P176" s="1">
        <v>1</v>
      </c>
    </row>
    <row r="177" spans="1:16" x14ac:dyDescent="0.3">
      <c r="A177" s="1" t="s">
        <v>140</v>
      </c>
      <c r="B177" s="1">
        <v>15</v>
      </c>
      <c r="D177" t="s">
        <v>399</v>
      </c>
      <c r="E177" s="1" t="s">
        <v>58</v>
      </c>
      <c r="G177" s="8" t="s">
        <v>400</v>
      </c>
      <c r="L177" s="1">
        <v>150003</v>
      </c>
      <c r="N177" s="8"/>
      <c r="O177"/>
      <c r="P177" s="1">
        <v>1</v>
      </c>
    </row>
    <row r="178" spans="1:16" x14ac:dyDescent="0.3">
      <c r="A178" s="1" t="s">
        <v>151</v>
      </c>
      <c r="B178" s="1">
        <v>15</v>
      </c>
      <c r="D178" t="s">
        <v>152</v>
      </c>
      <c r="E178" s="1" t="s">
        <v>58</v>
      </c>
      <c r="L178" s="1">
        <v>150004</v>
      </c>
      <c r="N178" s="8"/>
      <c r="O178"/>
      <c r="P178" s="1">
        <v>1</v>
      </c>
    </row>
    <row r="179" spans="1:16" x14ac:dyDescent="0.3">
      <c r="A179" s="1" t="s">
        <v>155</v>
      </c>
      <c r="B179" s="1">
        <v>15</v>
      </c>
      <c r="D179" t="s">
        <v>156</v>
      </c>
      <c r="E179" s="1">
        <v>1957</v>
      </c>
      <c r="F179" s="1">
        <v>2021</v>
      </c>
      <c r="G179" s="8" t="s">
        <v>796</v>
      </c>
      <c r="H179" s="9" t="s">
        <v>795</v>
      </c>
      <c r="I179" s="10" t="s">
        <v>62</v>
      </c>
      <c r="L179" s="1">
        <v>150005</v>
      </c>
      <c r="M179" s="8" t="s">
        <v>62</v>
      </c>
      <c r="P179" s="1">
        <v>1</v>
      </c>
    </row>
    <row r="180" spans="1:16" x14ac:dyDescent="0.3">
      <c r="A180" s="1" t="s">
        <v>158</v>
      </c>
      <c r="B180" s="1">
        <v>15</v>
      </c>
      <c r="D180" t="s">
        <v>159</v>
      </c>
      <c r="E180" s="1">
        <v>1961</v>
      </c>
      <c r="L180" s="1">
        <v>150006</v>
      </c>
      <c r="N180" s="8"/>
      <c r="O180"/>
      <c r="P180" s="1">
        <v>1</v>
      </c>
    </row>
    <row r="181" spans="1:16" x14ac:dyDescent="0.3">
      <c r="A181" s="1" t="s">
        <v>160</v>
      </c>
      <c r="B181" s="1">
        <v>15</v>
      </c>
      <c r="D181" t="s">
        <v>401</v>
      </c>
      <c r="E181" s="1">
        <v>1966</v>
      </c>
      <c r="L181" s="1">
        <v>150007</v>
      </c>
      <c r="N181" s="8"/>
      <c r="O181"/>
      <c r="P181" s="1">
        <v>1</v>
      </c>
    </row>
    <row r="182" spans="1:16" x14ac:dyDescent="0.3">
      <c r="A182" s="1" t="s">
        <v>162</v>
      </c>
      <c r="B182" s="1">
        <v>15</v>
      </c>
      <c r="D182" t="s">
        <v>402</v>
      </c>
      <c r="E182" s="1">
        <v>1971</v>
      </c>
      <c r="G182" s="8" t="s">
        <v>397</v>
      </c>
      <c r="L182" s="1">
        <v>150008</v>
      </c>
      <c r="N182" s="8"/>
      <c r="O182"/>
      <c r="P182" s="1">
        <v>1</v>
      </c>
    </row>
    <row r="183" spans="1:16" x14ac:dyDescent="0.3">
      <c r="A183" s="1" t="s">
        <v>163</v>
      </c>
      <c r="B183" s="1">
        <v>15</v>
      </c>
      <c r="D183" t="s">
        <v>403</v>
      </c>
      <c r="E183" s="1">
        <v>1979</v>
      </c>
      <c r="G183" s="8" t="s">
        <v>405</v>
      </c>
      <c r="L183" s="1">
        <v>150009</v>
      </c>
      <c r="N183" s="8"/>
      <c r="O183"/>
      <c r="P183" s="1">
        <v>1</v>
      </c>
    </row>
    <row r="184" spans="1:16" x14ac:dyDescent="0.3">
      <c r="A184" s="1" t="s">
        <v>164</v>
      </c>
      <c r="B184" s="1">
        <v>15</v>
      </c>
      <c r="D184" t="s">
        <v>404</v>
      </c>
      <c r="E184" s="1" t="s">
        <v>58</v>
      </c>
      <c r="L184" s="1">
        <v>150009</v>
      </c>
      <c r="N184" s="8"/>
      <c r="O184"/>
      <c r="P184" s="1">
        <v>2</v>
      </c>
    </row>
    <row r="185" spans="1:16" x14ac:dyDescent="0.3">
      <c r="A185" s="1" t="s">
        <v>172</v>
      </c>
      <c r="B185" s="1">
        <v>15</v>
      </c>
      <c r="D185" t="s">
        <v>173</v>
      </c>
      <c r="E185" s="1">
        <v>1959</v>
      </c>
      <c r="L185" s="1">
        <v>150011</v>
      </c>
      <c r="N185" s="8"/>
      <c r="O185"/>
      <c r="P185" s="1">
        <v>1</v>
      </c>
    </row>
    <row r="186" spans="1:16" x14ac:dyDescent="0.3">
      <c r="A186" s="1" t="s">
        <v>176</v>
      </c>
      <c r="B186" s="1">
        <v>15</v>
      </c>
      <c r="D186" t="s">
        <v>406</v>
      </c>
      <c r="E186" s="1" t="s">
        <v>58</v>
      </c>
      <c r="L186" s="1">
        <v>150012</v>
      </c>
      <c r="N186" s="8"/>
      <c r="O186"/>
      <c r="P186" s="1">
        <v>1</v>
      </c>
    </row>
    <row r="187" spans="1:16" x14ac:dyDescent="0.3">
      <c r="A187" s="1" t="s">
        <v>202</v>
      </c>
      <c r="B187" s="1">
        <v>15</v>
      </c>
      <c r="D187" t="s">
        <v>401</v>
      </c>
      <c r="E187" s="1">
        <v>1959</v>
      </c>
      <c r="G187" s="8" t="s">
        <v>407</v>
      </c>
      <c r="L187" s="1">
        <v>150013</v>
      </c>
      <c r="N187" s="8"/>
      <c r="O187"/>
      <c r="P187" s="1">
        <v>1</v>
      </c>
    </row>
    <row r="188" spans="1:16" x14ac:dyDescent="0.3">
      <c r="A188" s="1" t="s">
        <v>211</v>
      </c>
      <c r="B188" s="1">
        <v>15</v>
      </c>
      <c r="D188" t="s">
        <v>212</v>
      </c>
      <c r="E188" s="1" t="s">
        <v>58</v>
      </c>
      <c r="F188" s="1" t="s">
        <v>58</v>
      </c>
      <c r="H188" s="9" t="s">
        <v>788</v>
      </c>
      <c r="I188" s="10" t="s">
        <v>778</v>
      </c>
      <c r="L188" s="1">
        <v>150015</v>
      </c>
      <c r="M188" s="8" t="s">
        <v>778</v>
      </c>
      <c r="P188" s="1">
        <v>1</v>
      </c>
    </row>
    <row r="189" spans="1:16" x14ac:dyDescent="0.3">
      <c r="A189" s="1" t="s">
        <v>222</v>
      </c>
      <c r="B189" s="1">
        <v>15</v>
      </c>
      <c r="D189" t="s">
        <v>223</v>
      </c>
      <c r="E189" s="1">
        <v>1930</v>
      </c>
      <c r="F189" s="1" t="s">
        <v>58</v>
      </c>
      <c r="G189" s="8" t="s">
        <v>58</v>
      </c>
      <c r="H189" s="9" t="s">
        <v>58</v>
      </c>
      <c r="I189" s="10" t="s">
        <v>62</v>
      </c>
      <c r="L189" s="1">
        <v>150016</v>
      </c>
      <c r="M189" s="8" t="s">
        <v>62</v>
      </c>
      <c r="P189" s="1">
        <v>1</v>
      </c>
    </row>
    <row r="190" spans="1:16" x14ac:dyDescent="0.3">
      <c r="A190" s="1" t="s">
        <v>230</v>
      </c>
      <c r="B190" s="1">
        <v>15</v>
      </c>
      <c r="D190" t="s">
        <v>231</v>
      </c>
      <c r="E190" s="1" t="s">
        <v>58</v>
      </c>
      <c r="F190" s="1" t="s">
        <v>58</v>
      </c>
      <c r="I190" s="10" t="s">
        <v>58</v>
      </c>
      <c r="L190" s="1">
        <v>150017</v>
      </c>
      <c r="M190" s="8" t="s">
        <v>777</v>
      </c>
      <c r="P190" s="1">
        <v>1</v>
      </c>
    </row>
    <row r="191" spans="1:16" x14ac:dyDescent="0.3">
      <c r="A191" s="1" t="s">
        <v>260</v>
      </c>
      <c r="B191" s="1">
        <v>15</v>
      </c>
      <c r="D191" t="s">
        <v>261</v>
      </c>
      <c r="E191" s="1">
        <v>1947</v>
      </c>
      <c r="L191" s="1">
        <v>150019</v>
      </c>
      <c r="N191" s="8"/>
      <c r="O191"/>
      <c r="P191" s="1">
        <v>1</v>
      </c>
    </row>
    <row r="192" spans="1:16" x14ac:dyDescent="0.3">
      <c r="A192" s="1" t="s">
        <v>297</v>
      </c>
      <c r="B192" s="1">
        <v>15</v>
      </c>
      <c r="D192" t="s">
        <v>298</v>
      </c>
      <c r="E192" s="1" t="s">
        <v>58</v>
      </c>
      <c r="F192" s="1" t="s">
        <v>58</v>
      </c>
      <c r="G192" s="8" t="s">
        <v>58</v>
      </c>
      <c r="H192" s="1" t="s">
        <v>58</v>
      </c>
      <c r="I192" s="10" t="s">
        <v>58</v>
      </c>
      <c r="L192" s="1">
        <v>150020</v>
      </c>
      <c r="M192" s="8" t="s">
        <v>777</v>
      </c>
      <c r="P192" s="1">
        <v>1</v>
      </c>
    </row>
    <row r="193" spans="1:16" x14ac:dyDescent="0.3">
      <c r="A193" s="1" t="s">
        <v>304</v>
      </c>
      <c r="B193" s="1">
        <v>15</v>
      </c>
      <c r="D193" t="s">
        <v>305</v>
      </c>
      <c r="E193" s="1">
        <v>1940</v>
      </c>
      <c r="F193" s="1" t="s">
        <v>58</v>
      </c>
      <c r="G193" s="8" t="s">
        <v>397</v>
      </c>
      <c r="H193" s="1" t="s">
        <v>58</v>
      </c>
      <c r="I193" s="10" t="s">
        <v>58</v>
      </c>
      <c r="L193" s="1">
        <v>150021</v>
      </c>
      <c r="M193" s="8" t="s">
        <v>777</v>
      </c>
      <c r="P193" s="1">
        <v>1</v>
      </c>
    </row>
    <row r="194" spans="1:16" x14ac:dyDescent="0.3">
      <c r="A194" s="1" t="s">
        <v>311</v>
      </c>
      <c r="B194" s="1">
        <v>15</v>
      </c>
      <c r="D194" t="s">
        <v>312</v>
      </c>
      <c r="E194" s="1">
        <v>1940</v>
      </c>
      <c r="L194" s="1">
        <v>150022</v>
      </c>
      <c r="N194" s="8"/>
      <c r="O194"/>
      <c r="P194" s="1">
        <v>1</v>
      </c>
    </row>
    <row r="195" spans="1:16" x14ac:dyDescent="0.3">
      <c r="A195" s="1" t="s">
        <v>313</v>
      </c>
      <c r="B195" s="1">
        <v>15</v>
      </c>
      <c r="D195" t="s">
        <v>314</v>
      </c>
      <c r="E195" s="1">
        <v>1948</v>
      </c>
      <c r="G195" s="8" t="s">
        <v>408</v>
      </c>
      <c r="L195" s="1">
        <v>150023</v>
      </c>
      <c r="N195" s="8"/>
      <c r="O195"/>
      <c r="P195" s="1">
        <v>1</v>
      </c>
    </row>
    <row r="196" spans="1:16" x14ac:dyDescent="0.3">
      <c r="A196" s="1" t="s">
        <v>321</v>
      </c>
      <c r="B196" s="1">
        <v>15</v>
      </c>
      <c r="D196" t="s">
        <v>320</v>
      </c>
      <c r="E196" s="1">
        <v>1938</v>
      </c>
      <c r="L196" s="1">
        <v>150024</v>
      </c>
      <c r="N196" s="8"/>
      <c r="O196"/>
      <c r="P196" s="1">
        <v>1</v>
      </c>
    </row>
    <row r="197" spans="1:16" x14ac:dyDescent="0.3">
      <c r="A197" s="1">
        <v>160001</v>
      </c>
      <c r="B197" s="1">
        <v>16</v>
      </c>
      <c r="C197" s="1" t="s">
        <v>51</v>
      </c>
      <c r="D197" t="s">
        <v>12</v>
      </c>
      <c r="E197" s="1">
        <v>1979</v>
      </c>
      <c r="J197" s="1">
        <v>150001</v>
      </c>
      <c r="K197" s="1" t="s">
        <v>8</v>
      </c>
      <c r="N197" s="8"/>
      <c r="O197"/>
      <c r="P197"/>
    </row>
    <row r="198" spans="1:16" x14ac:dyDescent="0.3">
      <c r="A198" s="1">
        <v>160002</v>
      </c>
      <c r="B198" s="1">
        <v>16</v>
      </c>
      <c r="C198" s="1" t="s">
        <v>51</v>
      </c>
      <c r="D198" t="s">
        <v>15</v>
      </c>
      <c r="E198" s="1">
        <v>1981</v>
      </c>
      <c r="J198" s="1">
        <v>150001</v>
      </c>
      <c r="K198" s="1" t="s">
        <v>8</v>
      </c>
      <c r="N198" s="8"/>
      <c r="O198"/>
      <c r="P198"/>
    </row>
    <row r="199" spans="1:16" x14ac:dyDescent="0.3">
      <c r="A199" s="1">
        <v>160003</v>
      </c>
      <c r="B199" s="1">
        <v>16</v>
      </c>
      <c r="C199" s="1" t="s">
        <v>51</v>
      </c>
      <c r="D199" t="s">
        <v>18</v>
      </c>
      <c r="E199" s="1">
        <v>1988</v>
      </c>
      <c r="J199" s="1">
        <v>150001</v>
      </c>
      <c r="K199" s="1" t="s">
        <v>8</v>
      </c>
      <c r="N199" s="8"/>
      <c r="O199"/>
      <c r="P199"/>
    </row>
    <row r="200" spans="1:16" x14ac:dyDescent="0.3">
      <c r="A200" s="1" t="s">
        <v>35</v>
      </c>
      <c r="B200" s="1">
        <v>16</v>
      </c>
      <c r="D200" t="s">
        <v>36</v>
      </c>
      <c r="E200" s="1">
        <v>1977</v>
      </c>
      <c r="G200" s="8" t="s">
        <v>765</v>
      </c>
      <c r="J200" s="1">
        <v>150001</v>
      </c>
      <c r="K200" s="1" t="s">
        <v>8</v>
      </c>
      <c r="N200" s="8"/>
      <c r="O200"/>
      <c r="P200"/>
    </row>
    <row r="201" spans="1:16" x14ac:dyDescent="0.3">
      <c r="A201" s="1" t="s">
        <v>37</v>
      </c>
      <c r="B201" s="1">
        <v>16</v>
      </c>
      <c r="D201" t="s">
        <v>38</v>
      </c>
      <c r="E201" s="1">
        <v>1991</v>
      </c>
      <c r="G201" s="8" t="s">
        <v>766</v>
      </c>
      <c r="J201" s="1">
        <v>150001</v>
      </c>
      <c r="K201" s="1" t="s">
        <v>8</v>
      </c>
      <c r="N201" s="8"/>
      <c r="O201"/>
      <c r="P201"/>
    </row>
    <row r="202" spans="1:16" x14ac:dyDescent="0.3">
      <c r="A202" s="1">
        <v>160004</v>
      </c>
      <c r="B202" s="1">
        <v>16</v>
      </c>
      <c r="C202" s="1" t="s">
        <v>51</v>
      </c>
      <c r="D202" t="s">
        <v>21</v>
      </c>
      <c r="E202" s="1">
        <v>1980</v>
      </c>
      <c r="J202" s="1">
        <v>150002</v>
      </c>
      <c r="K202" s="1" t="s">
        <v>10</v>
      </c>
      <c r="N202" s="8"/>
      <c r="O202"/>
      <c r="P202"/>
    </row>
    <row r="203" spans="1:16" x14ac:dyDescent="0.3">
      <c r="A203" s="1">
        <v>160005</v>
      </c>
      <c r="B203" s="1">
        <v>16</v>
      </c>
      <c r="C203" s="1" t="s">
        <v>51</v>
      </c>
      <c r="D203" t="s">
        <v>24</v>
      </c>
      <c r="E203" s="1">
        <v>1982</v>
      </c>
      <c r="F203" s="1">
        <v>2023</v>
      </c>
      <c r="I203" s="10" t="s">
        <v>778</v>
      </c>
      <c r="J203" s="1">
        <v>150002</v>
      </c>
      <c r="K203" s="1" t="s">
        <v>10</v>
      </c>
      <c r="M203" s="8" t="s">
        <v>778</v>
      </c>
      <c r="P203" s="4"/>
    </row>
    <row r="204" spans="1:16" x14ac:dyDescent="0.3">
      <c r="A204" s="1" t="s">
        <v>39</v>
      </c>
      <c r="B204" s="1">
        <v>16</v>
      </c>
      <c r="D204" t="s">
        <v>40</v>
      </c>
      <c r="E204" s="1">
        <v>1978</v>
      </c>
      <c r="J204" s="1">
        <v>150002</v>
      </c>
      <c r="K204" s="1" t="s">
        <v>10</v>
      </c>
      <c r="N204" s="8"/>
      <c r="O204"/>
      <c r="P204"/>
    </row>
    <row r="205" spans="1:16" x14ac:dyDescent="0.3">
      <c r="A205" s="1">
        <v>160006</v>
      </c>
      <c r="B205" s="1">
        <v>16</v>
      </c>
      <c r="C205" s="1" t="s">
        <v>51</v>
      </c>
      <c r="D205" t="s">
        <v>141</v>
      </c>
      <c r="E205" s="1">
        <v>3</v>
      </c>
      <c r="J205" s="1">
        <v>150003</v>
      </c>
      <c r="K205" s="1" t="s">
        <v>140</v>
      </c>
      <c r="N205" s="8"/>
      <c r="O205"/>
      <c r="P205"/>
    </row>
    <row r="206" spans="1:16" x14ac:dyDescent="0.3">
      <c r="A206" s="1">
        <v>160007</v>
      </c>
      <c r="B206" s="1">
        <v>16</v>
      </c>
      <c r="C206" s="1" t="s">
        <v>51</v>
      </c>
      <c r="D206" t="s">
        <v>142</v>
      </c>
      <c r="E206" s="1">
        <v>4</v>
      </c>
      <c r="J206" s="1">
        <v>150003</v>
      </c>
      <c r="K206" s="1" t="s">
        <v>140</v>
      </c>
      <c r="N206" s="8"/>
      <c r="O206"/>
      <c r="P206"/>
    </row>
    <row r="207" spans="1:16" x14ac:dyDescent="0.3">
      <c r="A207" s="1" t="s">
        <v>411</v>
      </c>
      <c r="B207" s="1">
        <v>16</v>
      </c>
      <c r="D207" t="s">
        <v>412</v>
      </c>
      <c r="E207" s="1">
        <v>1</v>
      </c>
      <c r="J207" s="1">
        <v>150003</v>
      </c>
      <c r="K207" s="1" t="s">
        <v>140</v>
      </c>
      <c r="N207" s="8"/>
      <c r="O207"/>
      <c r="P207"/>
    </row>
    <row r="208" spans="1:16" x14ac:dyDescent="0.3">
      <c r="A208" s="1" t="s">
        <v>414</v>
      </c>
      <c r="B208" s="1">
        <v>16</v>
      </c>
      <c r="D208" t="s">
        <v>413</v>
      </c>
      <c r="E208" s="1">
        <v>2</v>
      </c>
      <c r="J208" s="1">
        <v>150003</v>
      </c>
      <c r="K208" s="1" t="s">
        <v>140</v>
      </c>
      <c r="N208" s="8"/>
      <c r="O208"/>
      <c r="P208"/>
    </row>
    <row r="209" spans="1:16" x14ac:dyDescent="0.3">
      <c r="A209" s="1">
        <v>160008</v>
      </c>
      <c r="B209" s="1">
        <v>16</v>
      </c>
      <c r="C209" s="1" t="s">
        <v>51</v>
      </c>
      <c r="D209" t="s">
        <v>153</v>
      </c>
      <c r="E209" s="1">
        <v>1980</v>
      </c>
      <c r="J209" s="1">
        <v>150004</v>
      </c>
      <c r="K209" s="1" t="s">
        <v>151</v>
      </c>
      <c r="N209" s="8"/>
      <c r="O209"/>
      <c r="P209"/>
    </row>
    <row r="210" spans="1:16" x14ac:dyDescent="0.3">
      <c r="A210" s="1">
        <v>160009</v>
      </c>
      <c r="B210" s="1">
        <v>16</v>
      </c>
      <c r="C210" s="1" t="s">
        <v>51</v>
      </c>
      <c r="D210" t="s">
        <v>154</v>
      </c>
      <c r="E210" s="1" t="s">
        <v>58</v>
      </c>
      <c r="F210" s="1" t="s">
        <v>58</v>
      </c>
      <c r="G210" s="8" t="s">
        <v>201</v>
      </c>
      <c r="I210" s="10" t="s">
        <v>58</v>
      </c>
      <c r="J210" s="1">
        <v>150004</v>
      </c>
      <c r="K210" s="1" t="s">
        <v>151</v>
      </c>
      <c r="M210" s="8" t="s">
        <v>777</v>
      </c>
      <c r="P210" s="4"/>
    </row>
    <row r="211" spans="1:16" x14ac:dyDescent="0.3">
      <c r="A211" s="1" t="s">
        <v>416</v>
      </c>
      <c r="B211" s="1">
        <v>16</v>
      </c>
      <c r="D211" t="s">
        <v>415</v>
      </c>
      <c r="E211" s="1">
        <v>1988</v>
      </c>
      <c r="F211" s="1">
        <v>2025</v>
      </c>
      <c r="I211" s="10" t="s">
        <v>778</v>
      </c>
      <c r="J211" s="1">
        <v>150004</v>
      </c>
      <c r="K211" s="1" t="s">
        <v>151</v>
      </c>
      <c r="M211" s="8" t="s">
        <v>778</v>
      </c>
      <c r="P211" s="4"/>
    </row>
    <row r="212" spans="1:16" x14ac:dyDescent="0.3">
      <c r="A212" s="1">
        <v>160010</v>
      </c>
      <c r="B212" s="1">
        <v>16</v>
      </c>
      <c r="C212" s="1" t="s">
        <v>51</v>
      </c>
      <c r="D212" t="s">
        <v>157</v>
      </c>
      <c r="E212" s="1">
        <v>1983</v>
      </c>
      <c r="J212" s="1">
        <v>150005</v>
      </c>
      <c r="K212" s="1" t="s">
        <v>155</v>
      </c>
      <c r="N212" s="8"/>
      <c r="O212"/>
      <c r="P212"/>
    </row>
    <row r="213" spans="1:16" x14ac:dyDescent="0.3">
      <c r="A213" s="1" t="s">
        <v>417</v>
      </c>
      <c r="B213" s="1">
        <v>16</v>
      </c>
      <c r="D213" t="s">
        <v>418</v>
      </c>
      <c r="E213" s="1">
        <v>1</v>
      </c>
      <c r="J213" s="1">
        <v>150005</v>
      </c>
      <c r="K213" s="1" t="s">
        <v>155</v>
      </c>
      <c r="N213" s="8"/>
      <c r="O213"/>
      <c r="P213"/>
    </row>
    <row r="214" spans="1:16" x14ac:dyDescent="0.3">
      <c r="A214" s="1">
        <v>160011</v>
      </c>
      <c r="B214" s="1">
        <v>16</v>
      </c>
      <c r="C214" s="1" t="s">
        <v>51</v>
      </c>
      <c r="D214" t="s">
        <v>28</v>
      </c>
      <c r="E214" s="1">
        <v>1993</v>
      </c>
      <c r="J214" s="1">
        <v>150006</v>
      </c>
      <c r="K214" s="1" t="s">
        <v>158</v>
      </c>
      <c r="N214" s="8"/>
      <c r="O214"/>
      <c r="P214"/>
    </row>
    <row r="215" spans="1:16" x14ac:dyDescent="0.3">
      <c r="A215" s="1">
        <v>160040</v>
      </c>
      <c r="B215" s="1">
        <v>16</v>
      </c>
      <c r="C215" s="1" t="s">
        <v>51</v>
      </c>
      <c r="D215" t="s">
        <v>419</v>
      </c>
      <c r="E215" s="1" t="s">
        <v>58</v>
      </c>
      <c r="F215" s="1" t="s">
        <v>58</v>
      </c>
      <c r="G215" s="8" t="s">
        <v>201</v>
      </c>
      <c r="I215" s="10" t="s">
        <v>794</v>
      </c>
      <c r="J215" s="1">
        <v>150006</v>
      </c>
      <c r="K215" s="1" t="s">
        <v>158</v>
      </c>
      <c r="M215" s="8" t="s">
        <v>62</v>
      </c>
      <c r="P215" s="4"/>
    </row>
    <row r="216" spans="1:16" x14ac:dyDescent="0.3">
      <c r="A216" s="1" t="s">
        <v>420</v>
      </c>
      <c r="B216" s="1">
        <v>16</v>
      </c>
      <c r="D216" t="s">
        <v>421</v>
      </c>
      <c r="E216" s="1">
        <v>1984</v>
      </c>
      <c r="J216" s="1">
        <v>150006</v>
      </c>
      <c r="K216" s="1" t="s">
        <v>158</v>
      </c>
      <c r="N216" s="8"/>
      <c r="O216"/>
      <c r="P216"/>
    </row>
    <row r="217" spans="1:16" x14ac:dyDescent="0.3">
      <c r="A217" s="1" t="s">
        <v>423</v>
      </c>
      <c r="B217" s="1">
        <v>16</v>
      </c>
      <c r="D217" t="s">
        <v>422</v>
      </c>
      <c r="E217" s="1">
        <v>1991</v>
      </c>
      <c r="J217" s="1">
        <v>150006</v>
      </c>
      <c r="K217" s="1" t="s">
        <v>158</v>
      </c>
      <c r="N217" s="8"/>
      <c r="O217"/>
      <c r="P217"/>
    </row>
    <row r="218" spans="1:16" x14ac:dyDescent="0.3">
      <c r="A218" s="1">
        <v>160012</v>
      </c>
      <c r="B218" s="1">
        <v>16</v>
      </c>
      <c r="C218" s="1" t="s">
        <v>51</v>
      </c>
      <c r="D218" t="s">
        <v>161</v>
      </c>
      <c r="E218" s="1">
        <v>2000</v>
      </c>
      <c r="J218" s="1">
        <v>150007</v>
      </c>
      <c r="K218" s="1" t="s">
        <v>160</v>
      </c>
      <c r="N218" s="8"/>
      <c r="O218"/>
      <c r="P218"/>
    </row>
    <row r="219" spans="1:16" x14ac:dyDescent="0.3">
      <c r="A219" s="1" t="s">
        <v>427</v>
      </c>
      <c r="B219" s="1">
        <v>16</v>
      </c>
      <c r="D219" t="s">
        <v>424</v>
      </c>
      <c r="E219" s="1">
        <v>1991</v>
      </c>
      <c r="J219" s="1">
        <v>150007</v>
      </c>
      <c r="K219" s="1" t="s">
        <v>160</v>
      </c>
      <c r="N219" s="8"/>
      <c r="O219"/>
      <c r="P219"/>
    </row>
    <row r="220" spans="1:16" x14ac:dyDescent="0.3">
      <c r="A220" s="1" t="s">
        <v>428</v>
      </c>
      <c r="B220" s="1">
        <v>16</v>
      </c>
      <c r="D220" t="s">
        <v>425</v>
      </c>
      <c r="E220" s="1">
        <v>1994</v>
      </c>
      <c r="J220" s="1">
        <v>150007</v>
      </c>
      <c r="K220" s="1" t="s">
        <v>160</v>
      </c>
      <c r="N220" s="8"/>
      <c r="O220"/>
      <c r="P220"/>
    </row>
    <row r="221" spans="1:16" x14ac:dyDescent="0.3">
      <c r="A221" s="1" t="s">
        <v>429</v>
      </c>
      <c r="B221" s="1">
        <v>16</v>
      </c>
      <c r="D221" t="s">
        <v>426</v>
      </c>
      <c r="E221" s="1">
        <v>1995</v>
      </c>
      <c r="J221" s="1">
        <v>150007</v>
      </c>
      <c r="K221" s="1" t="s">
        <v>160</v>
      </c>
      <c r="N221" s="8"/>
      <c r="O221"/>
      <c r="P221"/>
    </row>
    <row r="222" spans="1:16" x14ac:dyDescent="0.3">
      <c r="A222" s="1">
        <v>160013</v>
      </c>
      <c r="B222" s="1">
        <v>16</v>
      </c>
      <c r="C222" s="1" t="s">
        <v>51</v>
      </c>
      <c r="D222" t="s">
        <v>771</v>
      </c>
      <c r="E222" s="1">
        <v>1993</v>
      </c>
      <c r="J222" s="1">
        <v>150008</v>
      </c>
      <c r="K222" s="1" t="s">
        <v>162</v>
      </c>
      <c r="N222" s="8"/>
      <c r="O222"/>
      <c r="P222"/>
    </row>
    <row r="223" spans="1:16" x14ac:dyDescent="0.3">
      <c r="A223" s="1">
        <v>160014</v>
      </c>
      <c r="B223" s="1">
        <v>16</v>
      </c>
      <c r="C223" s="1" t="s">
        <v>51</v>
      </c>
      <c r="D223" t="s">
        <v>772</v>
      </c>
      <c r="E223" s="1">
        <v>1997</v>
      </c>
      <c r="J223" s="1">
        <v>150008</v>
      </c>
      <c r="K223" s="1" t="s">
        <v>162</v>
      </c>
      <c r="N223" s="8"/>
      <c r="O223"/>
      <c r="P223"/>
    </row>
    <row r="224" spans="1:16" x14ac:dyDescent="0.3">
      <c r="A224" s="1">
        <v>160043</v>
      </c>
      <c r="B224" s="1">
        <v>16</v>
      </c>
      <c r="C224" s="1" t="s">
        <v>51</v>
      </c>
      <c r="D224" t="s">
        <v>430</v>
      </c>
      <c r="E224" s="1">
        <v>2010</v>
      </c>
      <c r="J224" s="1">
        <v>150009</v>
      </c>
      <c r="K224" s="1" t="s">
        <v>164</v>
      </c>
      <c r="N224" s="8"/>
      <c r="O224"/>
      <c r="P224"/>
    </row>
    <row r="225" spans="1:16" x14ac:dyDescent="0.3">
      <c r="A225" s="1" t="s">
        <v>431</v>
      </c>
      <c r="B225" s="1">
        <v>16</v>
      </c>
      <c r="D225" t="s">
        <v>432</v>
      </c>
      <c r="E225" s="1">
        <v>2007</v>
      </c>
      <c r="J225" s="1">
        <v>150009</v>
      </c>
      <c r="K225" s="1" t="s">
        <v>164</v>
      </c>
      <c r="N225" s="8"/>
      <c r="O225"/>
      <c r="P225"/>
    </row>
    <row r="226" spans="1:16" x14ac:dyDescent="0.3">
      <c r="A226" s="1">
        <v>160015</v>
      </c>
      <c r="B226" s="1">
        <v>16</v>
      </c>
      <c r="C226" s="1" t="s">
        <v>51</v>
      </c>
      <c r="D226" t="s">
        <v>174</v>
      </c>
      <c r="E226" s="1">
        <v>1979</v>
      </c>
      <c r="J226" s="1">
        <v>150011</v>
      </c>
      <c r="K226" s="1" t="s">
        <v>172</v>
      </c>
      <c r="N226" s="8"/>
      <c r="O226"/>
      <c r="P226"/>
    </row>
    <row r="227" spans="1:16" x14ac:dyDescent="0.3">
      <c r="A227" s="1">
        <v>160016</v>
      </c>
      <c r="B227" s="1">
        <v>16</v>
      </c>
      <c r="C227" s="1" t="s">
        <v>51</v>
      </c>
      <c r="D227" t="s">
        <v>175</v>
      </c>
      <c r="E227" s="1">
        <v>1984</v>
      </c>
      <c r="J227" s="1">
        <v>150011</v>
      </c>
      <c r="K227" s="1" t="s">
        <v>172</v>
      </c>
      <c r="N227" s="8"/>
      <c r="O227"/>
      <c r="P227"/>
    </row>
    <row r="228" spans="1:16" x14ac:dyDescent="0.3">
      <c r="A228" s="1" t="s">
        <v>434</v>
      </c>
      <c r="B228" s="1">
        <v>16</v>
      </c>
      <c r="D228" t="s">
        <v>433</v>
      </c>
      <c r="E228" s="1">
        <v>1982</v>
      </c>
      <c r="J228" s="1">
        <v>150011</v>
      </c>
      <c r="K228" s="1" t="s">
        <v>172</v>
      </c>
      <c r="N228" s="8"/>
      <c r="O228"/>
      <c r="P228"/>
    </row>
    <row r="229" spans="1:16" x14ac:dyDescent="0.3">
      <c r="A229" s="1">
        <v>160017</v>
      </c>
      <c r="B229" s="1">
        <v>16</v>
      </c>
      <c r="C229" s="1" t="s">
        <v>51</v>
      </c>
      <c r="D229" t="s">
        <v>177</v>
      </c>
      <c r="E229" s="1">
        <v>1989</v>
      </c>
      <c r="J229" s="1">
        <v>150012</v>
      </c>
      <c r="K229" s="1" t="s">
        <v>176</v>
      </c>
      <c r="N229" s="8"/>
      <c r="O229"/>
      <c r="P229"/>
    </row>
    <row r="230" spans="1:16" x14ac:dyDescent="0.3">
      <c r="A230" s="1" t="s">
        <v>435</v>
      </c>
      <c r="B230" s="1">
        <v>16</v>
      </c>
      <c r="D230" t="s">
        <v>422</v>
      </c>
      <c r="E230" s="1">
        <v>1995</v>
      </c>
      <c r="J230" s="1">
        <v>150012</v>
      </c>
      <c r="K230" s="1" t="s">
        <v>176</v>
      </c>
      <c r="N230" s="8"/>
      <c r="O230"/>
      <c r="P230"/>
    </row>
    <row r="231" spans="1:16" x14ac:dyDescent="0.3">
      <c r="A231" s="1">
        <v>160041</v>
      </c>
      <c r="B231" s="1">
        <v>16</v>
      </c>
      <c r="C231" s="1" t="s">
        <v>51</v>
      </c>
      <c r="D231" t="s">
        <v>315</v>
      </c>
      <c r="E231" s="1">
        <v>1998</v>
      </c>
      <c r="J231" s="1">
        <v>150013</v>
      </c>
      <c r="K231" s="1" t="s">
        <v>202</v>
      </c>
      <c r="N231" s="8"/>
      <c r="O231"/>
      <c r="P231"/>
    </row>
    <row r="232" spans="1:16" x14ac:dyDescent="0.3">
      <c r="A232" s="1" t="s">
        <v>436</v>
      </c>
      <c r="B232" s="1">
        <v>16</v>
      </c>
      <c r="D232" t="s">
        <v>437</v>
      </c>
      <c r="E232" s="1">
        <v>1986</v>
      </c>
      <c r="J232" s="1">
        <v>150013</v>
      </c>
      <c r="K232" s="1" t="s">
        <v>202</v>
      </c>
      <c r="N232" s="8"/>
      <c r="O232"/>
      <c r="P232"/>
    </row>
    <row r="233" spans="1:16" x14ac:dyDescent="0.3">
      <c r="A233" s="1">
        <v>160018</v>
      </c>
      <c r="B233" s="1">
        <v>16</v>
      </c>
      <c r="C233" s="1" t="s">
        <v>51</v>
      </c>
      <c r="D233" t="s">
        <v>213</v>
      </c>
      <c r="E233" s="1">
        <v>1952</v>
      </c>
      <c r="F233" s="1" t="s">
        <v>58</v>
      </c>
      <c r="G233" s="8" t="s">
        <v>58</v>
      </c>
      <c r="H233" s="9" t="s">
        <v>58</v>
      </c>
      <c r="I233" s="10" t="s">
        <v>778</v>
      </c>
      <c r="J233" s="1">
        <v>150015</v>
      </c>
      <c r="K233" s="1" t="s">
        <v>211</v>
      </c>
      <c r="M233" s="8" t="s">
        <v>778</v>
      </c>
      <c r="P233" s="4"/>
    </row>
    <row r="234" spans="1:16" x14ac:dyDescent="0.3">
      <c r="A234" s="1">
        <v>160019</v>
      </c>
      <c r="B234" s="1">
        <v>16</v>
      </c>
      <c r="C234" s="1" t="s">
        <v>51</v>
      </c>
      <c r="D234" t="s">
        <v>214</v>
      </c>
      <c r="E234" s="1">
        <v>1954</v>
      </c>
      <c r="J234" s="1">
        <v>150015</v>
      </c>
      <c r="K234" s="1" t="s">
        <v>211</v>
      </c>
      <c r="N234" s="8"/>
      <c r="O234"/>
      <c r="P234"/>
    </row>
    <row r="235" spans="1:16" x14ac:dyDescent="0.3">
      <c r="A235" s="1">
        <v>160020</v>
      </c>
      <c r="B235" s="1">
        <v>16</v>
      </c>
      <c r="C235" s="1" t="s">
        <v>51</v>
      </c>
      <c r="D235" t="s">
        <v>215</v>
      </c>
      <c r="E235" s="1">
        <v>1964</v>
      </c>
      <c r="G235" s="8" t="s">
        <v>442</v>
      </c>
      <c r="J235" s="1">
        <v>150015</v>
      </c>
      <c r="K235" s="1" t="s">
        <v>211</v>
      </c>
      <c r="N235" s="8"/>
      <c r="O235"/>
      <c r="P235"/>
    </row>
    <row r="236" spans="1:16" x14ac:dyDescent="0.3">
      <c r="A236" s="1" t="s">
        <v>438</v>
      </c>
      <c r="B236" s="1">
        <v>16</v>
      </c>
      <c r="D236" t="s">
        <v>439</v>
      </c>
      <c r="E236" s="1">
        <v>1950</v>
      </c>
      <c r="F236" s="1" t="s">
        <v>58</v>
      </c>
      <c r="I236" s="10" t="s">
        <v>58</v>
      </c>
      <c r="J236" s="1">
        <v>150015</v>
      </c>
      <c r="K236" s="1" t="s">
        <v>211</v>
      </c>
      <c r="M236" s="8" t="s">
        <v>777</v>
      </c>
      <c r="P236" s="4"/>
    </row>
    <row r="237" spans="1:16" x14ac:dyDescent="0.3">
      <c r="A237" s="1" t="s">
        <v>441</v>
      </c>
      <c r="B237" s="1">
        <v>16</v>
      </c>
      <c r="D237" t="s">
        <v>440</v>
      </c>
      <c r="E237" s="1">
        <v>1965</v>
      </c>
      <c r="F237" s="1" t="s">
        <v>58</v>
      </c>
      <c r="G237" s="8" t="s">
        <v>201</v>
      </c>
      <c r="H237" s="9" t="s">
        <v>58</v>
      </c>
      <c r="I237" s="10" t="s">
        <v>784</v>
      </c>
      <c r="J237" s="1">
        <v>150015</v>
      </c>
      <c r="K237" s="1" t="s">
        <v>211</v>
      </c>
      <c r="M237" s="8" t="s">
        <v>776</v>
      </c>
      <c r="P237" s="4"/>
    </row>
    <row r="238" spans="1:16" x14ac:dyDescent="0.3">
      <c r="A238" s="1" t="s">
        <v>444</v>
      </c>
      <c r="B238" s="1">
        <v>16</v>
      </c>
      <c r="D238" t="s">
        <v>443</v>
      </c>
      <c r="E238" s="1">
        <v>1961</v>
      </c>
      <c r="F238" s="1" t="s">
        <v>58</v>
      </c>
      <c r="I238" s="10" t="s">
        <v>58</v>
      </c>
      <c r="J238" s="1">
        <v>150015</v>
      </c>
      <c r="K238" s="1" t="s">
        <v>211</v>
      </c>
      <c r="M238" s="8" t="s">
        <v>777</v>
      </c>
      <c r="P238" s="4"/>
    </row>
    <row r="239" spans="1:16" x14ac:dyDescent="0.3">
      <c r="A239" s="1" t="s">
        <v>446</v>
      </c>
      <c r="B239" s="1">
        <v>16</v>
      </c>
      <c r="D239" t="s">
        <v>445</v>
      </c>
      <c r="E239" s="1">
        <v>1965</v>
      </c>
      <c r="J239" s="1">
        <v>150015</v>
      </c>
      <c r="K239" s="1" t="s">
        <v>211</v>
      </c>
      <c r="N239" s="8"/>
      <c r="O239"/>
      <c r="P239"/>
    </row>
    <row r="240" spans="1:16" x14ac:dyDescent="0.3">
      <c r="A240" s="1">
        <v>160021</v>
      </c>
      <c r="B240" s="1">
        <v>16</v>
      </c>
      <c r="C240" s="1" t="s">
        <v>51</v>
      </c>
      <c r="D240" t="s">
        <v>224</v>
      </c>
      <c r="E240" s="1">
        <v>1954</v>
      </c>
      <c r="J240" s="1">
        <v>150016</v>
      </c>
      <c r="K240" s="1" t="s">
        <v>222</v>
      </c>
      <c r="N240" s="8"/>
      <c r="O240"/>
      <c r="P240"/>
    </row>
    <row r="241" spans="1:16" x14ac:dyDescent="0.3">
      <c r="A241" s="1">
        <v>160022</v>
      </c>
      <c r="B241" s="1">
        <v>16</v>
      </c>
      <c r="C241" s="1" t="s">
        <v>51</v>
      </c>
      <c r="D241" t="s">
        <v>225</v>
      </c>
      <c r="E241" s="1">
        <v>1960</v>
      </c>
      <c r="J241" s="1">
        <v>150016</v>
      </c>
      <c r="K241" s="1" t="s">
        <v>222</v>
      </c>
      <c r="N241" s="8"/>
      <c r="O241"/>
      <c r="P241"/>
    </row>
    <row r="242" spans="1:16" x14ac:dyDescent="0.3">
      <c r="A242" s="1">
        <v>160023</v>
      </c>
      <c r="B242" s="1">
        <v>16</v>
      </c>
      <c r="C242" s="1" t="s">
        <v>51</v>
      </c>
      <c r="D242" t="s">
        <v>226</v>
      </c>
      <c r="E242" s="1">
        <v>1968</v>
      </c>
      <c r="J242" s="1">
        <v>150016</v>
      </c>
      <c r="K242" s="1" t="s">
        <v>222</v>
      </c>
      <c r="N242" s="8"/>
      <c r="O242"/>
      <c r="P242"/>
    </row>
    <row r="243" spans="1:16" x14ac:dyDescent="0.3">
      <c r="A243" s="1">
        <v>160024</v>
      </c>
      <c r="B243" s="1">
        <v>16</v>
      </c>
      <c r="C243" s="1" t="s">
        <v>51</v>
      </c>
      <c r="D243" t="s">
        <v>227</v>
      </c>
      <c r="E243" s="1">
        <v>1978</v>
      </c>
      <c r="J243" s="1">
        <v>150016</v>
      </c>
      <c r="K243" s="1" t="s">
        <v>222</v>
      </c>
      <c r="N243" s="8"/>
      <c r="O243"/>
      <c r="P243"/>
    </row>
    <row r="244" spans="1:16" x14ac:dyDescent="0.3">
      <c r="A244" s="1" t="s">
        <v>448</v>
      </c>
      <c r="B244" s="1">
        <v>16</v>
      </c>
      <c r="D244" t="s">
        <v>447</v>
      </c>
      <c r="E244" s="1">
        <v>1957</v>
      </c>
      <c r="F244" s="1" t="s">
        <v>58</v>
      </c>
      <c r="I244" s="10" t="s">
        <v>58</v>
      </c>
      <c r="J244" s="1">
        <v>150016</v>
      </c>
      <c r="K244" s="1" t="s">
        <v>222</v>
      </c>
      <c r="M244" s="8" t="s">
        <v>777</v>
      </c>
      <c r="P244" s="4"/>
    </row>
    <row r="245" spans="1:16" x14ac:dyDescent="0.3">
      <c r="A245" s="1" t="s">
        <v>450</v>
      </c>
      <c r="B245" s="1">
        <v>16</v>
      </c>
      <c r="D245" t="s">
        <v>449</v>
      </c>
      <c r="E245" s="1">
        <v>1966</v>
      </c>
      <c r="F245" s="1" t="s">
        <v>58</v>
      </c>
      <c r="I245" s="10" t="s">
        <v>58</v>
      </c>
      <c r="J245" s="1">
        <v>150016</v>
      </c>
      <c r="K245" s="1" t="s">
        <v>222</v>
      </c>
      <c r="M245" s="8" t="s">
        <v>777</v>
      </c>
      <c r="P245" s="4"/>
    </row>
    <row r="246" spans="1:16" x14ac:dyDescent="0.3">
      <c r="A246" s="1" t="s">
        <v>451</v>
      </c>
      <c r="B246" s="1">
        <v>16</v>
      </c>
      <c r="D246" t="s">
        <v>452</v>
      </c>
      <c r="E246" s="1">
        <v>1977</v>
      </c>
      <c r="F246" s="1" t="s">
        <v>58</v>
      </c>
      <c r="I246" s="10" t="s">
        <v>58</v>
      </c>
      <c r="J246" s="1">
        <v>150016</v>
      </c>
      <c r="K246" s="1" t="s">
        <v>222</v>
      </c>
      <c r="M246" s="8" t="s">
        <v>777</v>
      </c>
      <c r="P246" s="4"/>
    </row>
    <row r="247" spans="1:16" x14ac:dyDescent="0.3">
      <c r="A247" s="1">
        <v>160025</v>
      </c>
      <c r="B247" s="1">
        <v>16</v>
      </c>
      <c r="C247" s="1" t="s">
        <v>51</v>
      </c>
      <c r="D247" t="s">
        <v>232</v>
      </c>
      <c r="E247" s="1">
        <v>1</v>
      </c>
      <c r="J247" s="1">
        <v>150017</v>
      </c>
      <c r="K247" s="1" t="s">
        <v>230</v>
      </c>
      <c r="N247" s="8"/>
      <c r="O247"/>
      <c r="P247"/>
    </row>
    <row r="248" spans="1:16" x14ac:dyDescent="0.3">
      <c r="A248" s="1">
        <v>160026</v>
      </c>
      <c r="B248" s="1">
        <v>16</v>
      </c>
      <c r="C248" s="1" t="s">
        <v>51</v>
      </c>
      <c r="D248" t="s">
        <v>233</v>
      </c>
      <c r="E248" s="1">
        <v>1959</v>
      </c>
      <c r="J248" s="1">
        <v>150017</v>
      </c>
      <c r="K248" s="1" t="s">
        <v>230</v>
      </c>
      <c r="N248" s="8"/>
      <c r="O248"/>
      <c r="P248"/>
    </row>
    <row r="249" spans="1:16" x14ac:dyDescent="0.3">
      <c r="A249" s="1">
        <v>160027</v>
      </c>
      <c r="B249" s="1">
        <v>16</v>
      </c>
      <c r="C249" s="1" t="s">
        <v>51</v>
      </c>
      <c r="D249" t="s">
        <v>234</v>
      </c>
      <c r="E249" s="1">
        <v>1961</v>
      </c>
      <c r="J249" s="1">
        <v>150017</v>
      </c>
      <c r="K249" s="1" t="s">
        <v>230</v>
      </c>
      <c r="N249" s="8"/>
      <c r="O249"/>
      <c r="P249"/>
    </row>
    <row r="250" spans="1:16" x14ac:dyDescent="0.3">
      <c r="A250" s="1">
        <v>160028</v>
      </c>
      <c r="B250" s="1">
        <v>16</v>
      </c>
      <c r="C250" s="1" t="s">
        <v>51</v>
      </c>
      <c r="D250" t="s">
        <v>150</v>
      </c>
      <c r="E250" s="1">
        <v>1963</v>
      </c>
      <c r="J250" s="1">
        <v>150017</v>
      </c>
      <c r="K250" s="1" t="s">
        <v>230</v>
      </c>
      <c r="N250" s="8"/>
      <c r="O250"/>
      <c r="P250"/>
    </row>
    <row r="251" spans="1:16" x14ac:dyDescent="0.3">
      <c r="A251" s="1" t="s">
        <v>454</v>
      </c>
      <c r="B251" s="1">
        <v>16</v>
      </c>
      <c r="D251" t="s">
        <v>453</v>
      </c>
      <c r="E251" s="1">
        <v>1957</v>
      </c>
      <c r="F251" s="1" t="s">
        <v>58</v>
      </c>
      <c r="I251" s="10" t="s">
        <v>58</v>
      </c>
      <c r="J251" s="1">
        <v>150017</v>
      </c>
      <c r="K251" s="1" t="s">
        <v>230</v>
      </c>
      <c r="M251" s="8" t="s">
        <v>777</v>
      </c>
      <c r="P251" s="4"/>
    </row>
    <row r="252" spans="1:16" x14ac:dyDescent="0.3">
      <c r="A252" s="1">
        <v>160029</v>
      </c>
      <c r="B252" s="1">
        <v>16</v>
      </c>
      <c r="C252" s="1" t="s">
        <v>51</v>
      </c>
      <c r="D252" t="s">
        <v>262</v>
      </c>
      <c r="E252" s="1">
        <v>1974</v>
      </c>
      <c r="J252" s="1">
        <v>150019</v>
      </c>
      <c r="K252" s="1" t="s">
        <v>260</v>
      </c>
      <c r="N252" s="8"/>
      <c r="O252"/>
      <c r="P252"/>
    </row>
    <row r="253" spans="1:16" x14ac:dyDescent="0.3">
      <c r="A253" s="1">
        <v>160030</v>
      </c>
      <c r="B253" s="1">
        <v>16</v>
      </c>
      <c r="C253" s="1" t="s">
        <v>51</v>
      </c>
      <c r="D253" t="s">
        <v>263</v>
      </c>
      <c r="E253" s="1">
        <v>1977</v>
      </c>
      <c r="G253" s="8" t="s">
        <v>264</v>
      </c>
      <c r="J253" s="1">
        <v>150019</v>
      </c>
      <c r="K253" s="1" t="s">
        <v>260</v>
      </c>
      <c r="N253" s="8"/>
      <c r="O253"/>
      <c r="P253"/>
    </row>
    <row r="254" spans="1:16" x14ac:dyDescent="0.3">
      <c r="A254" s="1" t="s">
        <v>271</v>
      </c>
      <c r="B254" s="1">
        <v>16</v>
      </c>
      <c r="D254" t="s">
        <v>273</v>
      </c>
      <c r="E254" s="1">
        <v>1979</v>
      </c>
      <c r="J254" s="1">
        <v>150019</v>
      </c>
      <c r="K254" s="1" t="s">
        <v>260</v>
      </c>
      <c r="N254" s="8"/>
      <c r="O254"/>
      <c r="P254"/>
    </row>
    <row r="255" spans="1:16" x14ac:dyDescent="0.3">
      <c r="A255" s="1" t="s">
        <v>272</v>
      </c>
      <c r="B255" s="1">
        <v>16</v>
      </c>
      <c r="D255" t="s">
        <v>274</v>
      </c>
      <c r="E255" s="1">
        <v>1981</v>
      </c>
      <c r="J255" s="1">
        <v>150019</v>
      </c>
      <c r="K255" s="1" t="s">
        <v>260</v>
      </c>
      <c r="N255" s="8"/>
      <c r="O255"/>
      <c r="P255"/>
    </row>
    <row r="256" spans="1:16" x14ac:dyDescent="0.3">
      <c r="A256" s="1">
        <v>160031</v>
      </c>
      <c r="B256" s="1">
        <v>16</v>
      </c>
      <c r="C256" s="1" t="s">
        <v>51</v>
      </c>
      <c r="D256" t="s">
        <v>299</v>
      </c>
      <c r="E256" s="1">
        <v>1952</v>
      </c>
      <c r="J256" s="1">
        <v>150020</v>
      </c>
      <c r="K256" s="1" t="s">
        <v>297</v>
      </c>
      <c r="N256" s="8"/>
      <c r="O256"/>
      <c r="P256"/>
    </row>
    <row r="257" spans="1:16" x14ac:dyDescent="0.3">
      <c r="A257" s="1" t="s">
        <v>458</v>
      </c>
      <c r="B257" s="1">
        <v>16</v>
      </c>
      <c r="D257" t="s">
        <v>455</v>
      </c>
      <c r="E257" s="1">
        <v>1955</v>
      </c>
      <c r="J257" s="1">
        <v>150020</v>
      </c>
      <c r="K257" s="1" t="s">
        <v>297</v>
      </c>
      <c r="N257" s="8"/>
      <c r="O257"/>
      <c r="P257"/>
    </row>
    <row r="258" spans="1:16" x14ac:dyDescent="0.3">
      <c r="A258" s="1" t="s">
        <v>459</v>
      </c>
      <c r="B258" s="1">
        <v>16</v>
      </c>
      <c r="D258" t="s">
        <v>456</v>
      </c>
      <c r="E258" s="1">
        <v>1960</v>
      </c>
      <c r="J258" s="1">
        <v>150020</v>
      </c>
      <c r="K258" s="1" t="s">
        <v>297</v>
      </c>
      <c r="N258" s="8"/>
      <c r="O258"/>
      <c r="P258"/>
    </row>
    <row r="259" spans="1:16" x14ac:dyDescent="0.3">
      <c r="A259" s="1" t="s">
        <v>460</v>
      </c>
      <c r="B259" s="1">
        <v>16</v>
      </c>
      <c r="D259" t="s">
        <v>457</v>
      </c>
      <c r="E259" s="1">
        <v>1965</v>
      </c>
      <c r="J259" s="1">
        <v>150020</v>
      </c>
      <c r="K259" s="1" t="s">
        <v>297</v>
      </c>
      <c r="N259" s="8"/>
      <c r="O259"/>
      <c r="P259"/>
    </row>
    <row r="260" spans="1:16" x14ac:dyDescent="0.3">
      <c r="A260" s="1">
        <v>160032</v>
      </c>
      <c r="B260" s="1">
        <v>16</v>
      </c>
      <c r="C260" s="1" t="s">
        <v>51</v>
      </c>
      <c r="D260" t="s">
        <v>232</v>
      </c>
      <c r="E260" s="1">
        <v>1960</v>
      </c>
      <c r="J260" s="1">
        <v>150021</v>
      </c>
      <c r="K260" s="1" t="s">
        <v>304</v>
      </c>
      <c r="N260" s="8"/>
      <c r="O260"/>
      <c r="P260"/>
    </row>
    <row r="261" spans="1:16" x14ac:dyDescent="0.3">
      <c r="A261" s="1">
        <v>160033</v>
      </c>
      <c r="B261" s="1">
        <v>16</v>
      </c>
      <c r="C261" s="1" t="s">
        <v>51</v>
      </c>
      <c r="D261" t="s">
        <v>306</v>
      </c>
      <c r="E261" s="1">
        <v>1964</v>
      </c>
      <c r="J261" s="1">
        <v>150021</v>
      </c>
      <c r="K261" s="1" t="s">
        <v>304</v>
      </c>
      <c r="N261" s="8"/>
      <c r="O261"/>
      <c r="P261"/>
    </row>
    <row r="262" spans="1:16" x14ac:dyDescent="0.3">
      <c r="A262" s="1">
        <v>160042</v>
      </c>
      <c r="B262" s="1">
        <v>16</v>
      </c>
      <c r="C262" s="1" t="s">
        <v>51</v>
      </c>
      <c r="D262" t="s">
        <v>214</v>
      </c>
      <c r="E262" s="1">
        <v>1974</v>
      </c>
      <c r="F262" s="1" t="s">
        <v>58</v>
      </c>
      <c r="I262" s="10" t="s">
        <v>58</v>
      </c>
      <c r="J262" s="1">
        <v>150021</v>
      </c>
      <c r="K262" s="1" t="s">
        <v>304</v>
      </c>
      <c r="M262" s="8" t="s">
        <v>777</v>
      </c>
      <c r="P262" s="4"/>
    </row>
    <row r="263" spans="1:16" x14ac:dyDescent="0.3">
      <c r="A263" s="1" t="s">
        <v>462</v>
      </c>
      <c r="B263" s="1">
        <v>16</v>
      </c>
      <c r="D263" t="s">
        <v>461</v>
      </c>
      <c r="E263" s="1">
        <v>1953</v>
      </c>
      <c r="F263" s="1" t="s">
        <v>58</v>
      </c>
      <c r="I263" s="10" t="s">
        <v>58</v>
      </c>
      <c r="J263" s="1">
        <v>150021</v>
      </c>
      <c r="K263" s="1" t="s">
        <v>304</v>
      </c>
      <c r="M263" s="8" t="s">
        <v>777</v>
      </c>
      <c r="P263" s="4"/>
    </row>
    <row r="264" spans="1:16" x14ac:dyDescent="0.3">
      <c r="A264" s="1" t="s">
        <v>466</v>
      </c>
      <c r="B264" s="1">
        <v>16</v>
      </c>
      <c r="D264" t="s">
        <v>463</v>
      </c>
      <c r="E264" s="1">
        <v>1961</v>
      </c>
      <c r="F264" s="1" t="s">
        <v>58</v>
      </c>
      <c r="I264" s="10" t="s">
        <v>58</v>
      </c>
      <c r="J264" s="1">
        <v>150021</v>
      </c>
      <c r="K264" s="1" t="s">
        <v>304</v>
      </c>
      <c r="M264" s="8" t="s">
        <v>777</v>
      </c>
      <c r="P264" s="4"/>
    </row>
    <row r="265" spans="1:16" x14ac:dyDescent="0.3">
      <c r="A265" s="1" t="s">
        <v>467</v>
      </c>
      <c r="B265" s="1">
        <v>16</v>
      </c>
      <c r="D265" t="s">
        <v>415</v>
      </c>
      <c r="E265" s="1">
        <v>1963</v>
      </c>
      <c r="F265" s="1" t="s">
        <v>58</v>
      </c>
      <c r="I265" s="10" t="s">
        <v>58</v>
      </c>
      <c r="J265" s="1">
        <v>150021</v>
      </c>
      <c r="K265" s="1" t="s">
        <v>304</v>
      </c>
      <c r="M265" s="8" t="s">
        <v>777</v>
      </c>
      <c r="P265" s="4"/>
    </row>
    <row r="266" spans="1:16" x14ac:dyDescent="0.3">
      <c r="A266" s="1" t="s">
        <v>468</v>
      </c>
      <c r="B266" s="1">
        <v>16</v>
      </c>
      <c r="D266" t="s">
        <v>464</v>
      </c>
      <c r="E266" s="1">
        <v>1968</v>
      </c>
      <c r="F266" s="1" t="s">
        <v>58</v>
      </c>
      <c r="I266" s="10" t="s">
        <v>58</v>
      </c>
      <c r="J266" s="1">
        <v>150021</v>
      </c>
      <c r="K266" s="1" t="s">
        <v>304</v>
      </c>
      <c r="M266" s="8" t="s">
        <v>777</v>
      </c>
      <c r="P266" s="4"/>
    </row>
    <row r="267" spans="1:16" x14ac:dyDescent="0.3">
      <c r="A267" s="1" t="s">
        <v>469</v>
      </c>
      <c r="B267" s="1">
        <v>16</v>
      </c>
      <c r="D267" t="s">
        <v>465</v>
      </c>
      <c r="E267" s="1">
        <v>1969</v>
      </c>
      <c r="F267" s="1" t="s">
        <v>58</v>
      </c>
      <c r="I267" s="10" t="s">
        <v>58</v>
      </c>
      <c r="J267" s="1">
        <v>150021</v>
      </c>
      <c r="K267" s="1" t="s">
        <v>304</v>
      </c>
      <c r="M267" s="8" t="s">
        <v>777</v>
      </c>
      <c r="P267" s="4"/>
    </row>
    <row r="268" spans="1:16" x14ac:dyDescent="0.3">
      <c r="A268" s="1" t="s">
        <v>470</v>
      </c>
      <c r="B268" s="1">
        <v>16</v>
      </c>
      <c r="D268" t="s">
        <v>447</v>
      </c>
      <c r="E268" s="1">
        <v>1971</v>
      </c>
      <c r="F268" s="1" t="s">
        <v>58</v>
      </c>
      <c r="I268" s="10" t="s">
        <v>58</v>
      </c>
      <c r="J268" s="1">
        <v>150021</v>
      </c>
      <c r="K268" s="1" t="s">
        <v>304</v>
      </c>
      <c r="M268" s="8" t="s">
        <v>777</v>
      </c>
      <c r="P268" s="4"/>
    </row>
    <row r="269" spans="1:16" x14ac:dyDescent="0.3">
      <c r="A269" s="1">
        <v>160034</v>
      </c>
      <c r="B269" s="1">
        <v>16</v>
      </c>
      <c r="C269" s="1" t="s">
        <v>51</v>
      </c>
      <c r="D269" t="s">
        <v>153</v>
      </c>
      <c r="E269" s="1">
        <v>1966</v>
      </c>
      <c r="J269" s="1">
        <v>150022</v>
      </c>
      <c r="K269" s="1" t="s">
        <v>311</v>
      </c>
      <c r="N269" s="8"/>
      <c r="O269"/>
      <c r="P269"/>
    </row>
    <row r="270" spans="1:16" x14ac:dyDescent="0.3">
      <c r="A270" s="1">
        <v>160035</v>
      </c>
      <c r="B270" s="1">
        <v>16</v>
      </c>
      <c r="C270" s="1" t="s">
        <v>51</v>
      </c>
      <c r="D270" t="s">
        <v>169</v>
      </c>
      <c r="E270" s="1">
        <v>1974</v>
      </c>
      <c r="J270" s="1">
        <v>150022</v>
      </c>
      <c r="K270" s="1" t="s">
        <v>311</v>
      </c>
      <c r="N270" s="8"/>
      <c r="O270"/>
      <c r="P270"/>
    </row>
    <row r="271" spans="1:16" x14ac:dyDescent="0.3">
      <c r="A271" s="1" t="s">
        <v>472</v>
      </c>
      <c r="B271" s="1">
        <v>16</v>
      </c>
      <c r="D271" t="s">
        <v>452</v>
      </c>
      <c r="E271" s="1">
        <v>1961</v>
      </c>
      <c r="J271" s="1">
        <v>150022</v>
      </c>
      <c r="K271" s="1" t="s">
        <v>311</v>
      </c>
      <c r="N271" s="8"/>
      <c r="O271"/>
      <c r="P271"/>
    </row>
    <row r="272" spans="1:16" x14ac:dyDescent="0.3">
      <c r="A272" s="1" t="s">
        <v>473</v>
      </c>
      <c r="B272" s="1">
        <v>16</v>
      </c>
      <c r="D272" t="s">
        <v>471</v>
      </c>
      <c r="E272" s="1">
        <v>1964</v>
      </c>
      <c r="J272" s="1">
        <v>150022</v>
      </c>
      <c r="K272" s="1" t="s">
        <v>311</v>
      </c>
      <c r="N272" s="8"/>
      <c r="O272"/>
      <c r="P272"/>
    </row>
    <row r="273" spans="1:16" x14ac:dyDescent="0.3">
      <c r="A273" s="1" t="s">
        <v>477</v>
      </c>
      <c r="B273" s="1">
        <v>16</v>
      </c>
      <c r="D273" t="s">
        <v>474</v>
      </c>
      <c r="E273" s="1">
        <v>1969</v>
      </c>
      <c r="J273" s="1">
        <v>150022</v>
      </c>
      <c r="K273" s="1" t="s">
        <v>311</v>
      </c>
      <c r="N273" s="8"/>
      <c r="O273"/>
      <c r="P273"/>
    </row>
    <row r="274" spans="1:16" x14ac:dyDescent="0.3">
      <c r="A274" s="1" t="s">
        <v>478</v>
      </c>
      <c r="B274" s="1">
        <v>16</v>
      </c>
      <c r="D274" t="s">
        <v>475</v>
      </c>
      <c r="E274" s="1">
        <v>1972</v>
      </c>
      <c r="J274" s="1">
        <v>150022</v>
      </c>
      <c r="K274" s="1" t="s">
        <v>311</v>
      </c>
      <c r="N274" s="8"/>
      <c r="O274"/>
      <c r="P274"/>
    </row>
    <row r="275" spans="1:16" x14ac:dyDescent="0.3">
      <c r="A275" s="1" t="s">
        <v>479</v>
      </c>
      <c r="B275" s="1">
        <v>16</v>
      </c>
      <c r="D275" t="s">
        <v>476</v>
      </c>
      <c r="E275" s="1">
        <v>1976</v>
      </c>
      <c r="J275" s="1">
        <v>150022</v>
      </c>
      <c r="K275" s="1" t="s">
        <v>311</v>
      </c>
      <c r="N275" s="8"/>
      <c r="O275"/>
      <c r="P275"/>
    </row>
    <row r="276" spans="1:16" x14ac:dyDescent="0.3">
      <c r="A276" s="1">
        <v>160036</v>
      </c>
      <c r="B276" s="1">
        <v>16</v>
      </c>
      <c r="C276" s="1" t="s">
        <v>51</v>
      </c>
      <c r="D276" t="s">
        <v>315</v>
      </c>
      <c r="E276" s="1">
        <v>1970</v>
      </c>
      <c r="J276" s="1">
        <v>150023</v>
      </c>
      <c r="K276" s="1" t="s">
        <v>313</v>
      </c>
      <c r="N276" s="8"/>
      <c r="O276"/>
      <c r="P276"/>
    </row>
    <row r="277" spans="1:16" x14ac:dyDescent="0.3">
      <c r="A277" s="1">
        <v>160037</v>
      </c>
      <c r="B277" s="1">
        <v>16</v>
      </c>
      <c r="C277" s="1" t="s">
        <v>51</v>
      </c>
      <c r="D277" t="s">
        <v>316</v>
      </c>
      <c r="E277" s="1">
        <v>1981</v>
      </c>
      <c r="J277" s="1">
        <v>150023</v>
      </c>
      <c r="K277" s="1" t="s">
        <v>313</v>
      </c>
      <c r="N277" s="8"/>
      <c r="O277"/>
      <c r="P277"/>
    </row>
    <row r="278" spans="1:16" x14ac:dyDescent="0.3">
      <c r="A278" s="1" t="s">
        <v>480</v>
      </c>
      <c r="B278" s="1">
        <v>16</v>
      </c>
      <c r="D278" t="s">
        <v>38</v>
      </c>
      <c r="E278" s="1">
        <v>1977</v>
      </c>
      <c r="J278" s="1">
        <v>150023</v>
      </c>
      <c r="K278" s="1" t="s">
        <v>313</v>
      </c>
      <c r="N278" s="8"/>
      <c r="O278"/>
      <c r="P278"/>
    </row>
    <row r="279" spans="1:16" x14ac:dyDescent="0.3">
      <c r="A279" s="1">
        <v>160038</v>
      </c>
      <c r="B279" s="1">
        <v>16</v>
      </c>
      <c r="C279" s="1" t="s">
        <v>51</v>
      </c>
      <c r="D279" t="s">
        <v>322</v>
      </c>
      <c r="E279" s="1">
        <v>1960</v>
      </c>
      <c r="J279" s="1">
        <v>150024</v>
      </c>
      <c r="K279" s="1" t="s">
        <v>321</v>
      </c>
      <c r="N279" s="8"/>
      <c r="O279"/>
      <c r="P279"/>
    </row>
    <row r="280" spans="1:16" x14ac:dyDescent="0.3">
      <c r="A280" s="1">
        <v>160039</v>
      </c>
      <c r="B280" s="1">
        <v>16</v>
      </c>
      <c r="C280" s="1" t="s">
        <v>51</v>
      </c>
      <c r="D280" t="s">
        <v>142</v>
      </c>
      <c r="E280" s="1">
        <v>1963</v>
      </c>
      <c r="J280" s="1">
        <v>150024</v>
      </c>
      <c r="K280" s="1" t="s">
        <v>321</v>
      </c>
      <c r="N280" s="8"/>
      <c r="O280"/>
      <c r="P280"/>
    </row>
    <row r="281" spans="1:16" x14ac:dyDescent="0.3">
      <c r="A281" s="1">
        <v>160044</v>
      </c>
      <c r="B281" s="1">
        <v>16</v>
      </c>
      <c r="C281" s="1" t="s">
        <v>51</v>
      </c>
      <c r="D281" t="s">
        <v>846</v>
      </c>
      <c r="J281" s="1">
        <v>150009</v>
      </c>
      <c r="K281" s="1" t="s">
        <v>163</v>
      </c>
      <c r="N281" s="8"/>
      <c r="O281"/>
      <c r="P281"/>
    </row>
    <row r="282" spans="1:16" x14ac:dyDescent="0.3">
      <c r="A282" s="1" t="s">
        <v>483</v>
      </c>
      <c r="B282" s="1">
        <v>16</v>
      </c>
      <c r="D282" t="s">
        <v>481</v>
      </c>
      <c r="E282" s="1">
        <v>1962</v>
      </c>
      <c r="J282" s="1">
        <v>150024</v>
      </c>
      <c r="K282" s="1" t="s">
        <v>321</v>
      </c>
      <c r="N282" s="8"/>
      <c r="O282"/>
      <c r="P282"/>
    </row>
    <row r="283" spans="1:16" x14ac:dyDescent="0.3">
      <c r="A283" s="1" t="s">
        <v>484</v>
      </c>
      <c r="B283" s="1">
        <v>16</v>
      </c>
      <c r="D283" t="s">
        <v>482</v>
      </c>
      <c r="E283" s="1" t="s">
        <v>58</v>
      </c>
      <c r="J283" s="1">
        <v>150024</v>
      </c>
      <c r="K283" s="1" t="s">
        <v>321</v>
      </c>
      <c r="N283" s="8"/>
      <c r="O283"/>
      <c r="P283"/>
    </row>
    <row r="284" spans="1:16" x14ac:dyDescent="0.3">
      <c r="A284" s="1" t="s">
        <v>13</v>
      </c>
      <c r="B284" s="1">
        <v>16</v>
      </c>
      <c r="D284" t="s">
        <v>14</v>
      </c>
      <c r="E284" s="1">
        <v>1983</v>
      </c>
      <c r="G284" s="8" t="s">
        <v>397</v>
      </c>
      <c r="L284" s="1">
        <v>160001</v>
      </c>
      <c r="N284" s="8"/>
      <c r="O284"/>
      <c r="P284" s="1">
        <v>1</v>
      </c>
    </row>
    <row r="285" spans="1:16" x14ac:dyDescent="0.3">
      <c r="A285" s="1" t="s">
        <v>16</v>
      </c>
      <c r="B285" s="1">
        <v>16</v>
      </c>
      <c r="D285" t="s">
        <v>17</v>
      </c>
      <c r="E285" s="1">
        <v>1985</v>
      </c>
      <c r="G285" s="8" t="s">
        <v>408</v>
      </c>
      <c r="L285" s="1">
        <v>160002</v>
      </c>
      <c r="N285" s="8"/>
      <c r="O285"/>
      <c r="P285" s="1">
        <v>1</v>
      </c>
    </row>
    <row r="286" spans="1:16" x14ac:dyDescent="0.3">
      <c r="A286" s="1" t="s">
        <v>19</v>
      </c>
      <c r="B286" s="1">
        <v>16</v>
      </c>
      <c r="D286" t="s">
        <v>20</v>
      </c>
      <c r="E286" s="1">
        <v>1989</v>
      </c>
      <c r="G286" s="8" t="s">
        <v>409</v>
      </c>
      <c r="L286" s="1">
        <v>160003</v>
      </c>
      <c r="N286" s="8"/>
      <c r="O286"/>
      <c r="P286" s="1">
        <v>1</v>
      </c>
    </row>
    <row r="287" spans="1:16" x14ac:dyDescent="0.3">
      <c r="A287" s="1" t="s">
        <v>22</v>
      </c>
      <c r="B287" s="1">
        <v>16</v>
      </c>
      <c r="D287" t="s">
        <v>23</v>
      </c>
      <c r="E287" s="1">
        <v>1983</v>
      </c>
      <c r="G287" s="8" t="s">
        <v>410</v>
      </c>
      <c r="L287" s="1">
        <v>160004</v>
      </c>
      <c r="N287" s="8"/>
      <c r="O287"/>
      <c r="P287" s="1">
        <v>1</v>
      </c>
    </row>
    <row r="288" spans="1:16" x14ac:dyDescent="0.3">
      <c r="A288" s="1" t="s">
        <v>25</v>
      </c>
      <c r="B288" s="1">
        <v>16</v>
      </c>
      <c r="D288" t="s">
        <v>26</v>
      </c>
      <c r="E288" s="1">
        <v>1987</v>
      </c>
      <c r="L288" s="1">
        <v>160005</v>
      </c>
      <c r="N288" s="8"/>
      <c r="O288"/>
      <c r="P288" s="1">
        <v>1</v>
      </c>
    </row>
    <row r="289" spans="1:16" x14ac:dyDescent="0.3">
      <c r="A289" s="1" t="s">
        <v>486</v>
      </c>
      <c r="B289" s="1">
        <v>16</v>
      </c>
      <c r="D289" t="s">
        <v>485</v>
      </c>
      <c r="E289" s="1" t="s">
        <v>58</v>
      </c>
      <c r="L289" s="1">
        <v>160006</v>
      </c>
      <c r="N289" s="8"/>
      <c r="O289"/>
      <c r="P289" s="1">
        <v>1</v>
      </c>
    </row>
    <row r="290" spans="1:16" x14ac:dyDescent="0.3">
      <c r="A290" s="1" t="s">
        <v>494</v>
      </c>
      <c r="B290" s="1">
        <v>16</v>
      </c>
      <c r="D290" t="s">
        <v>491</v>
      </c>
      <c r="E290" s="1" t="s">
        <v>58</v>
      </c>
      <c r="L290" s="1">
        <v>160007</v>
      </c>
      <c r="N290" s="8"/>
      <c r="O290"/>
      <c r="P290" s="1">
        <v>1</v>
      </c>
    </row>
    <row r="291" spans="1:16" x14ac:dyDescent="0.3">
      <c r="A291" s="1" t="s">
        <v>498</v>
      </c>
      <c r="B291" s="1">
        <v>16</v>
      </c>
      <c r="D291" t="s">
        <v>497</v>
      </c>
      <c r="E291" s="1">
        <v>1981</v>
      </c>
      <c r="L291" s="1">
        <v>160008</v>
      </c>
      <c r="N291" s="8"/>
      <c r="O291"/>
      <c r="P291" s="1">
        <v>1</v>
      </c>
    </row>
    <row r="292" spans="1:16" x14ac:dyDescent="0.3">
      <c r="A292" s="1" t="s">
        <v>507</v>
      </c>
      <c r="B292" s="1">
        <v>16</v>
      </c>
      <c r="D292" t="s">
        <v>503</v>
      </c>
      <c r="E292" s="1">
        <v>1981</v>
      </c>
      <c r="L292" s="1">
        <v>160010</v>
      </c>
      <c r="N292" s="8"/>
      <c r="O292"/>
      <c r="P292" s="1">
        <v>1</v>
      </c>
    </row>
    <row r="293" spans="1:16" x14ac:dyDescent="0.3">
      <c r="A293" s="1" t="s">
        <v>513</v>
      </c>
      <c r="B293" s="1">
        <v>16</v>
      </c>
      <c r="D293" t="s">
        <v>330</v>
      </c>
      <c r="E293" s="1" t="s">
        <v>58</v>
      </c>
      <c r="G293" s="8" t="s">
        <v>405</v>
      </c>
      <c r="L293" s="1">
        <v>160011</v>
      </c>
      <c r="N293" s="8"/>
      <c r="O293"/>
      <c r="P293" s="1">
        <v>1</v>
      </c>
    </row>
    <row r="294" spans="1:16" x14ac:dyDescent="0.3">
      <c r="A294" s="1" t="s">
        <v>514</v>
      </c>
      <c r="B294" s="1">
        <v>16</v>
      </c>
      <c r="D294" t="s">
        <v>506</v>
      </c>
      <c r="E294" s="1" t="s">
        <v>58</v>
      </c>
      <c r="L294" s="1">
        <v>160011</v>
      </c>
      <c r="N294" s="8"/>
      <c r="O294"/>
      <c r="P294" s="1">
        <v>2</v>
      </c>
    </row>
    <row r="295" spans="1:16" x14ac:dyDescent="0.3">
      <c r="A295" s="1" t="s">
        <v>679</v>
      </c>
      <c r="B295" s="1">
        <v>16</v>
      </c>
      <c r="D295" t="s">
        <v>512</v>
      </c>
      <c r="E295" s="1">
        <v>1995</v>
      </c>
      <c r="L295" s="1">
        <v>160013</v>
      </c>
      <c r="N295" s="8"/>
      <c r="O295"/>
      <c r="P295" s="1">
        <v>1</v>
      </c>
    </row>
    <row r="296" spans="1:16" x14ac:dyDescent="0.3">
      <c r="A296" s="1" t="s">
        <v>520</v>
      </c>
      <c r="B296" s="1">
        <v>16</v>
      </c>
      <c r="D296" t="s">
        <v>519</v>
      </c>
      <c r="E296" s="1">
        <v>1985</v>
      </c>
      <c r="L296" s="1">
        <v>160015</v>
      </c>
      <c r="N296" s="8"/>
      <c r="O296"/>
      <c r="P296" s="1">
        <v>1</v>
      </c>
    </row>
    <row r="297" spans="1:16" x14ac:dyDescent="0.3">
      <c r="A297" s="1" t="s">
        <v>527</v>
      </c>
      <c r="B297" s="1">
        <v>16</v>
      </c>
      <c r="D297" t="s">
        <v>526</v>
      </c>
      <c r="E297" s="1">
        <v>1989</v>
      </c>
      <c r="L297" s="1">
        <v>160016</v>
      </c>
      <c r="N297" s="8"/>
      <c r="O297"/>
      <c r="P297" s="1">
        <v>1</v>
      </c>
    </row>
    <row r="298" spans="1:16" x14ac:dyDescent="0.3">
      <c r="A298" s="1" t="s">
        <v>534</v>
      </c>
      <c r="B298" s="1">
        <v>16</v>
      </c>
      <c r="D298" t="s">
        <v>531</v>
      </c>
      <c r="E298" s="1">
        <v>1990</v>
      </c>
      <c r="L298" s="1">
        <v>160017</v>
      </c>
      <c r="N298" s="8"/>
      <c r="O298"/>
      <c r="P298" s="1">
        <v>1</v>
      </c>
    </row>
    <row r="299" spans="1:16" x14ac:dyDescent="0.3">
      <c r="A299" s="1" t="s">
        <v>216</v>
      </c>
      <c r="B299" s="1">
        <v>16</v>
      </c>
      <c r="D299" t="s">
        <v>217</v>
      </c>
      <c r="E299" s="1">
        <v>1953</v>
      </c>
      <c r="L299" s="1">
        <v>160018</v>
      </c>
      <c r="N299" s="8"/>
      <c r="O299"/>
      <c r="P299" s="1">
        <v>1</v>
      </c>
    </row>
    <row r="300" spans="1:16" x14ac:dyDescent="0.3">
      <c r="A300" s="1" t="s">
        <v>219</v>
      </c>
      <c r="B300" s="1">
        <v>16</v>
      </c>
      <c r="D300" t="s">
        <v>220</v>
      </c>
      <c r="E300" s="1">
        <v>1962</v>
      </c>
      <c r="L300" s="1">
        <v>160019</v>
      </c>
      <c r="N300" s="8"/>
      <c r="O300"/>
      <c r="P300" s="1">
        <v>1</v>
      </c>
    </row>
    <row r="301" spans="1:16" x14ac:dyDescent="0.3">
      <c r="A301" s="1" t="s">
        <v>395</v>
      </c>
      <c r="B301" s="1">
        <v>16</v>
      </c>
      <c r="D301" t="s">
        <v>396</v>
      </c>
      <c r="E301" s="1">
        <v>1977</v>
      </c>
      <c r="L301" s="1">
        <v>160020</v>
      </c>
      <c r="N301" s="8"/>
      <c r="O301"/>
      <c r="P301" s="1">
        <v>1</v>
      </c>
    </row>
    <row r="302" spans="1:16" x14ac:dyDescent="0.3">
      <c r="A302" s="1" t="s">
        <v>228</v>
      </c>
      <c r="B302" s="1">
        <v>16</v>
      </c>
      <c r="D302" t="s">
        <v>551</v>
      </c>
      <c r="E302" s="1">
        <v>1958</v>
      </c>
      <c r="L302" s="1">
        <v>160021</v>
      </c>
      <c r="N302" s="8"/>
      <c r="O302"/>
      <c r="P302" s="1">
        <v>1</v>
      </c>
    </row>
    <row r="303" spans="1:16" x14ac:dyDescent="0.3">
      <c r="A303" s="1" t="s">
        <v>553</v>
      </c>
      <c r="B303" s="1">
        <v>16</v>
      </c>
      <c r="D303" t="s">
        <v>552</v>
      </c>
      <c r="E303" s="1">
        <v>1962</v>
      </c>
      <c r="L303" s="1">
        <v>160022</v>
      </c>
      <c r="N303" s="8"/>
      <c r="O303"/>
      <c r="P303" s="1">
        <v>1</v>
      </c>
    </row>
    <row r="304" spans="1:16" x14ac:dyDescent="0.3">
      <c r="A304" s="1" t="s">
        <v>558</v>
      </c>
      <c r="B304" s="1">
        <v>16</v>
      </c>
      <c r="D304" t="s">
        <v>557</v>
      </c>
      <c r="E304" s="1">
        <v>1975</v>
      </c>
      <c r="L304" s="1">
        <v>160023</v>
      </c>
      <c r="N304" s="8"/>
      <c r="O304"/>
      <c r="P304" s="1">
        <v>1</v>
      </c>
    </row>
    <row r="305" spans="1:16" x14ac:dyDescent="0.3">
      <c r="A305" s="1" t="s">
        <v>556</v>
      </c>
      <c r="B305" s="1">
        <v>16</v>
      </c>
      <c r="D305" t="s">
        <v>555</v>
      </c>
      <c r="E305" s="1">
        <v>1976</v>
      </c>
      <c r="G305" s="8" t="s">
        <v>566</v>
      </c>
      <c r="L305" s="1">
        <v>160024</v>
      </c>
      <c r="N305" s="8"/>
      <c r="O305"/>
      <c r="P305" s="1">
        <v>1</v>
      </c>
    </row>
    <row r="306" spans="1:16" x14ac:dyDescent="0.3">
      <c r="A306" s="1" t="s">
        <v>235</v>
      </c>
      <c r="B306" s="1">
        <v>16</v>
      </c>
      <c r="D306" t="s">
        <v>236</v>
      </c>
      <c r="E306" s="1">
        <v>1951</v>
      </c>
      <c r="L306" s="1">
        <v>160025</v>
      </c>
      <c r="N306" s="8"/>
      <c r="O306"/>
      <c r="P306" s="1">
        <v>1</v>
      </c>
    </row>
    <row r="307" spans="1:16" x14ac:dyDescent="0.3">
      <c r="A307" s="1" t="s">
        <v>237</v>
      </c>
      <c r="B307" s="1">
        <v>16</v>
      </c>
      <c r="D307" t="s">
        <v>238</v>
      </c>
      <c r="E307" s="1">
        <v>1963</v>
      </c>
      <c r="L307" s="1">
        <v>160026</v>
      </c>
      <c r="N307" s="8"/>
      <c r="O307"/>
      <c r="P307" s="1">
        <v>1</v>
      </c>
    </row>
    <row r="308" spans="1:16" x14ac:dyDescent="0.3">
      <c r="A308" s="1" t="s">
        <v>239</v>
      </c>
      <c r="B308" s="1">
        <v>16</v>
      </c>
      <c r="D308" t="s">
        <v>570</v>
      </c>
      <c r="L308" s="1">
        <v>160027</v>
      </c>
      <c r="N308" s="8"/>
      <c r="O308"/>
      <c r="P308" s="1">
        <v>1</v>
      </c>
    </row>
    <row r="309" spans="1:16" x14ac:dyDescent="0.3">
      <c r="A309" s="1" t="s">
        <v>572</v>
      </c>
      <c r="B309" s="1">
        <v>16</v>
      </c>
      <c r="D309" t="s">
        <v>573</v>
      </c>
      <c r="E309" s="1">
        <v>1972</v>
      </c>
      <c r="L309" s="1">
        <v>160028</v>
      </c>
      <c r="N309" s="8"/>
      <c r="O309"/>
      <c r="P309" s="1">
        <v>1</v>
      </c>
    </row>
    <row r="310" spans="1:16" x14ac:dyDescent="0.3">
      <c r="A310" s="1" t="s">
        <v>265</v>
      </c>
      <c r="B310" s="1">
        <v>16</v>
      </c>
      <c r="D310" t="s">
        <v>266</v>
      </c>
      <c r="E310" s="1">
        <v>1979</v>
      </c>
      <c r="L310" s="1">
        <v>160029</v>
      </c>
      <c r="N310" s="8"/>
      <c r="O310"/>
      <c r="P310" s="1">
        <v>1</v>
      </c>
    </row>
    <row r="311" spans="1:16" x14ac:dyDescent="0.3">
      <c r="A311" s="1" t="s">
        <v>275</v>
      </c>
      <c r="B311" s="1">
        <v>16</v>
      </c>
      <c r="D311" t="s">
        <v>276</v>
      </c>
      <c r="E311" s="1">
        <v>1989</v>
      </c>
      <c r="G311" s="8" t="s">
        <v>277</v>
      </c>
      <c r="L311" s="1">
        <v>160030</v>
      </c>
      <c r="N311" s="8"/>
      <c r="O311"/>
      <c r="P311" s="1">
        <v>1</v>
      </c>
    </row>
    <row r="312" spans="1:16" x14ac:dyDescent="0.3">
      <c r="A312" s="1" t="s">
        <v>300</v>
      </c>
      <c r="B312" s="1">
        <v>16</v>
      </c>
      <c r="D312" t="s">
        <v>301</v>
      </c>
      <c r="E312" s="1">
        <v>1954</v>
      </c>
      <c r="L312" s="1">
        <v>160031</v>
      </c>
      <c r="N312" s="8"/>
      <c r="O312"/>
      <c r="P312" s="1">
        <v>1</v>
      </c>
    </row>
    <row r="313" spans="1:16" x14ac:dyDescent="0.3">
      <c r="A313" s="1" t="s">
        <v>581</v>
      </c>
      <c r="B313" s="1">
        <v>16</v>
      </c>
      <c r="D313" t="s">
        <v>238</v>
      </c>
      <c r="E313" s="1">
        <v>1960</v>
      </c>
      <c r="G313" s="8" t="s">
        <v>408</v>
      </c>
      <c r="L313" s="1">
        <v>160032</v>
      </c>
      <c r="N313" s="8"/>
      <c r="O313"/>
      <c r="P313" s="1">
        <v>1</v>
      </c>
    </row>
    <row r="314" spans="1:16" x14ac:dyDescent="0.3">
      <c r="A314" s="1" t="s">
        <v>584</v>
      </c>
      <c r="B314" s="1">
        <v>16</v>
      </c>
      <c r="D314" t="s">
        <v>585</v>
      </c>
      <c r="E314" s="1">
        <v>1963</v>
      </c>
      <c r="L314" s="1">
        <v>160033</v>
      </c>
      <c r="N314" s="8"/>
      <c r="O314"/>
      <c r="P314" s="1">
        <v>1</v>
      </c>
    </row>
    <row r="315" spans="1:16" x14ac:dyDescent="0.3">
      <c r="A315" s="1" t="s">
        <v>593</v>
      </c>
      <c r="B315" s="1">
        <v>16</v>
      </c>
      <c r="D315" t="s">
        <v>592</v>
      </c>
      <c r="E315" s="1">
        <v>1966</v>
      </c>
      <c r="L315" s="1">
        <v>160034</v>
      </c>
      <c r="N315" s="8"/>
      <c r="O315"/>
      <c r="P315" s="1">
        <v>1</v>
      </c>
    </row>
    <row r="316" spans="1:16" x14ac:dyDescent="0.3">
      <c r="A316" s="1" t="s">
        <v>598</v>
      </c>
      <c r="B316" s="1">
        <v>16</v>
      </c>
      <c r="D316" t="s">
        <v>597</v>
      </c>
      <c r="E316" s="1">
        <v>1980</v>
      </c>
      <c r="L316" s="1">
        <v>160035</v>
      </c>
      <c r="N316" s="8"/>
      <c r="O316"/>
      <c r="P316" s="1">
        <v>1</v>
      </c>
    </row>
    <row r="317" spans="1:16" x14ac:dyDescent="0.3">
      <c r="A317" s="1" t="s">
        <v>604</v>
      </c>
      <c r="B317" s="1">
        <v>16</v>
      </c>
      <c r="D317" t="s">
        <v>601</v>
      </c>
      <c r="E317" s="1" t="s">
        <v>58</v>
      </c>
      <c r="L317" s="1">
        <v>160036</v>
      </c>
      <c r="N317" s="8"/>
      <c r="O317"/>
      <c r="P317" s="1">
        <v>1</v>
      </c>
    </row>
    <row r="318" spans="1:16" x14ac:dyDescent="0.3">
      <c r="A318" s="1" t="s">
        <v>606</v>
      </c>
      <c r="B318" s="1">
        <v>16</v>
      </c>
      <c r="D318" t="s">
        <v>605</v>
      </c>
      <c r="E318" s="1">
        <v>1985</v>
      </c>
      <c r="L318" s="1">
        <v>160037</v>
      </c>
      <c r="N318" s="8"/>
      <c r="O318"/>
      <c r="P318" s="1">
        <v>1</v>
      </c>
    </row>
    <row r="319" spans="1:16" x14ac:dyDescent="0.3">
      <c r="A319" s="1" t="s">
        <v>323</v>
      </c>
      <c r="B319" s="1">
        <v>16</v>
      </c>
      <c r="D319" t="s">
        <v>324</v>
      </c>
      <c r="E319" s="1">
        <v>1963</v>
      </c>
      <c r="G319" s="8" t="s">
        <v>410</v>
      </c>
      <c r="L319" s="1">
        <v>160038</v>
      </c>
      <c r="N319" s="8"/>
      <c r="O319"/>
      <c r="P319" s="1">
        <v>1</v>
      </c>
    </row>
    <row r="320" spans="1:16" x14ac:dyDescent="0.3">
      <c r="A320" s="1" t="s">
        <v>328</v>
      </c>
      <c r="B320" s="1">
        <v>16</v>
      </c>
      <c r="D320" t="s">
        <v>326</v>
      </c>
      <c r="E320" s="1">
        <v>1975</v>
      </c>
      <c r="L320" s="1">
        <v>160039</v>
      </c>
      <c r="N320" s="8"/>
      <c r="O320"/>
      <c r="P320" s="1">
        <v>1</v>
      </c>
    </row>
    <row r="321" spans="1:16" x14ac:dyDescent="0.3">
      <c r="A321" s="1" t="s">
        <v>587</v>
      </c>
      <c r="B321" s="1">
        <v>16</v>
      </c>
      <c r="D321" t="s">
        <v>588</v>
      </c>
      <c r="E321" s="1">
        <v>1973</v>
      </c>
      <c r="L321" s="1">
        <v>160042</v>
      </c>
      <c r="N321" s="8"/>
      <c r="O321"/>
      <c r="P321" s="1">
        <v>1</v>
      </c>
    </row>
    <row r="322" spans="1:16" x14ac:dyDescent="0.3">
      <c r="A322" s="1">
        <v>170001</v>
      </c>
      <c r="B322" s="1">
        <v>17</v>
      </c>
      <c r="C322" s="1" t="s">
        <v>51</v>
      </c>
      <c r="D322" t="s">
        <v>28</v>
      </c>
      <c r="E322" s="1">
        <v>2007</v>
      </c>
      <c r="J322" s="1">
        <v>160001</v>
      </c>
      <c r="K322" s="1" t="s">
        <v>13</v>
      </c>
      <c r="N322" s="8"/>
      <c r="O322"/>
      <c r="P322"/>
    </row>
    <row r="323" spans="1:16" x14ac:dyDescent="0.3">
      <c r="A323" s="1" t="s">
        <v>41</v>
      </c>
      <c r="B323" s="1">
        <v>17</v>
      </c>
      <c r="D323" t="s">
        <v>42</v>
      </c>
      <c r="E323" s="1">
        <v>2012</v>
      </c>
      <c r="J323" s="1">
        <v>160001</v>
      </c>
      <c r="K323" s="1" t="s">
        <v>13</v>
      </c>
      <c r="N323" s="8"/>
      <c r="O323"/>
      <c r="P323"/>
    </row>
    <row r="324" spans="1:16" x14ac:dyDescent="0.3">
      <c r="A324" s="1">
        <v>170002</v>
      </c>
      <c r="B324" s="1">
        <v>17</v>
      </c>
      <c r="C324" s="1" t="s">
        <v>51</v>
      </c>
      <c r="D324" t="s">
        <v>29</v>
      </c>
      <c r="E324" s="1">
        <v>2020</v>
      </c>
      <c r="J324" s="1">
        <v>160002</v>
      </c>
      <c r="K324" s="1" t="s">
        <v>16</v>
      </c>
      <c r="N324" s="8"/>
      <c r="O324"/>
      <c r="P324"/>
    </row>
    <row r="325" spans="1:16" x14ac:dyDescent="0.3">
      <c r="A325" s="1" t="s">
        <v>43</v>
      </c>
      <c r="B325" s="1">
        <v>17</v>
      </c>
      <c r="D325" t="s">
        <v>44</v>
      </c>
      <c r="E325" s="1">
        <v>2016</v>
      </c>
      <c r="J325" s="1">
        <v>160002</v>
      </c>
      <c r="K325" s="1" t="s">
        <v>16</v>
      </c>
      <c r="N325" s="8"/>
      <c r="O325"/>
      <c r="P325"/>
    </row>
    <row r="326" spans="1:16" x14ac:dyDescent="0.3">
      <c r="A326" s="1" t="s">
        <v>807</v>
      </c>
      <c r="B326" s="1">
        <v>17</v>
      </c>
      <c r="D326" t="s">
        <v>808</v>
      </c>
      <c r="E326" s="1">
        <v>2025</v>
      </c>
      <c r="J326" s="1">
        <v>160003</v>
      </c>
      <c r="K326" s="1" t="s">
        <v>19</v>
      </c>
      <c r="P326" s="4"/>
    </row>
    <row r="327" spans="1:16" x14ac:dyDescent="0.3">
      <c r="A327" s="1">
        <v>170003</v>
      </c>
      <c r="B327" s="1">
        <v>17</v>
      </c>
      <c r="C327" s="1" t="s">
        <v>51</v>
      </c>
      <c r="D327" t="s">
        <v>30</v>
      </c>
      <c r="E327" s="1">
        <v>2005</v>
      </c>
      <c r="J327" s="1">
        <v>160004</v>
      </c>
      <c r="K327" s="1" t="s">
        <v>22</v>
      </c>
      <c r="N327" s="8"/>
      <c r="O327"/>
      <c r="P327"/>
    </row>
    <row r="328" spans="1:16" x14ac:dyDescent="0.3">
      <c r="A328" s="1">
        <v>170004</v>
      </c>
      <c r="B328" s="1">
        <v>17</v>
      </c>
      <c r="C328" s="1" t="s">
        <v>51</v>
      </c>
      <c r="D328" t="s">
        <v>31</v>
      </c>
      <c r="E328" s="1">
        <v>2009</v>
      </c>
      <c r="J328" s="1">
        <v>160004</v>
      </c>
      <c r="K328" s="1" t="s">
        <v>22</v>
      </c>
      <c r="N328" s="8"/>
      <c r="O328"/>
      <c r="P328"/>
    </row>
    <row r="329" spans="1:16" x14ac:dyDescent="0.3">
      <c r="A329" s="1" t="s">
        <v>45</v>
      </c>
      <c r="B329" s="1">
        <v>17</v>
      </c>
      <c r="D329" t="s">
        <v>46</v>
      </c>
      <c r="E329" s="1">
        <v>2003</v>
      </c>
      <c r="J329" s="1">
        <v>160004</v>
      </c>
      <c r="K329" s="1" t="s">
        <v>22</v>
      </c>
      <c r="N329" s="8"/>
      <c r="O329"/>
      <c r="P329"/>
    </row>
    <row r="330" spans="1:16" x14ac:dyDescent="0.3">
      <c r="A330" s="1">
        <v>170005</v>
      </c>
      <c r="B330" s="1">
        <v>17</v>
      </c>
      <c r="C330" s="1" t="s">
        <v>51</v>
      </c>
      <c r="D330" t="s">
        <v>32</v>
      </c>
      <c r="E330" s="1">
        <v>2004</v>
      </c>
      <c r="J330" s="1">
        <v>160005</v>
      </c>
      <c r="K330" s="1" t="s">
        <v>25</v>
      </c>
      <c r="N330" s="8"/>
      <c r="O330"/>
      <c r="P330"/>
    </row>
    <row r="331" spans="1:16" x14ac:dyDescent="0.3">
      <c r="A331" s="1">
        <v>170049</v>
      </c>
      <c r="B331" s="1">
        <v>17</v>
      </c>
      <c r="C331" s="1" t="s">
        <v>51</v>
      </c>
      <c r="D331" t="s">
        <v>33</v>
      </c>
      <c r="E331" s="1">
        <v>2010</v>
      </c>
      <c r="J331" s="1">
        <v>160005</v>
      </c>
      <c r="K331" s="1" t="s">
        <v>25</v>
      </c>
      <c r="N331" s="8"/>
      <c r="O331"/>
      <c r="P331"/>
    </row>
    <row r="332" spans="1:16" x14ac:dyDescent="0.3">
      <c r="A332" s="1" t="s">
        <v>48</v>
      </c>
      <c r="B332" s="1">
        <v>17</v>
      </c>
      <c r="D332" t="s">
        <v>47</v>
      </c>
      <c r="E332" s="1">
        <v>2007</v>
      </c>
      <c r="J332" s="1">
        <v>160005</v>
      </c>
      <c r="K332" s="1" t="s">
        <v>25</v>
      </c>
      <c r="N332" s="8"/>
      <c r="O332"/>
      <c r="P332"/>
    </row>
    <row r="333" spans="1:16" x14ac:dyDescent="0.3">
      <c r="A333" s="1" t="s">
        <v>489</v>
      </c>
      <c r="B333" s="1">
        <v>17</v>
      </c>
      <c r="D333" t="s">
        <v>487</v>
      </c>
      <c r="E333" s="1" t="s">
        <v>58</v>
      </c>
      <c r="J333" s="1">
        <v>160006</v>
      </c>
      <c r="K333" s="1" t="s">
        <v>486</v>
      </c>
      <c r="N333" s="8"/>
      <c r="O333"/>
      <c r="P333"/>
    </row>
    <row r="334" spans="1:16" x14ac:dyDescent="0.3">
      <c r="A334" s="1" t="s">
        <v>490</v>
      </c>
      <c r="B334" s="1">
        <v>17</v>
      </c>
      <c r="D334" t="s">
        <v>488</v>
      </c>
      <c r="E334" s="1" t="s">
        <v>58</v>
      </c>
      <c r="J334" s="1">
        <v>160006</v>
      </c>
      <c r="K334" s="1" t="s">
        <v>486</v>
      </c>
      <c r="N334" s="8"/>
      <c r="O334"/>
      <c r="P334"/>
    </row>
    <row r="335" spans="1:16" x14ac:dyDescent="0.3">
      <c r="A335" s="1">
        <v>170016</v>
      </c>
      <c r="B335" s="1">
        <v>17</v>
      </c>
      <c r="C335" s="1" t="s">
        <v>51</v>
      </c>
      <c r="D335" t="s">
        <v>492</v>
      </c>
      <c r="E335" s="1" t="s">
        <v>58</v>
      </c>
      <c r="J335" s="1">
        <v>160007</v>
      </c>
      <c r="K335" s="1" t="s">
        <v>494</v>
      </c>
      <c r="N335" s="8"/>
      <c r="O335"/>
      <c r="P335"/>
    </row>
    <row r="336" spans="1:16" x14ac:dyDescent="0.3">
      <c r="A336" s="1" t="s">
        <v>495</v>
      </c>
      <c r="B336" s="1">
        <v>17</v>
      </c>
      <c r="D336" t="s">
        <v>42</v>
      </c>
      <c r="E336" s="1" t="s">
        <v>58</v>
      </c>
      <c r="J336" s="1">
        <v>160007</v>
      </c>
      <c r="K336" s="1" t="s">
        <v>494</v>
      </c>
      <c r="N336" s="8"/>
      <c r="O336"/>
      <c r="P336"/>
    </row>
    <row r="337" spans="1:16" x14ac:dyDescent="0.3">
      <c r="A337" s="1" t="s">
        <v>496</v>
      </c>
      <c r="B337" s="1">
        <v>17</v>
      </c>
      <c r="D337" t="s">
        <v>493</v>
      </c>
      <c r="E337" s="1" t="s">
        <v>58</v>
      </c>
      <c r="J337" s="1">
        <v>160007</v>
      </c>
      <c r="K337" s="1" t="s">
        <v>494</v>
      </c>
      <c r="N337" s="8"/>
      <c r="O337"/>
      <c r="P337"/>
    </row>
    <row r="338" spans="1:16" x14ac:dyDescent="0.3">
      <c r="A338" s="1">
        <v>170017</v>
      </c>
      <c r="B338" s="1">
        <v>17</v>
      </c>
      <c r="C338" s="1" t="s">
        <v>51</v>
      </c>
      <c r="D338" t="s">
        <v>499</v>
      </c>
      <c r="E338" s="1">
        <v>2012</v>
      </c>
      <c r="J338" s="1">
        <v>160008</v>
      </c>
      <c r="K338" s="1" t="s">
        <v>498</v>
      </c>
      <c r="N338" s="8"/>
      <c r="O338"/>
      <c r="P338"/>
    </row>
    <row r="339" spans="1:16" x14ac:dyDescent="0.3">
      <c r="A339" s="1">
        <v>170018</v>
      </c>
      <c r="B339" s="1">
        <v>17</v>
      </c>
      <c r="C339" s="1" t="s">
        <v>51</v>
      </c>
      <c r="D339" t="s">
        <v>500</v>
      </c>
      <c r="E339" s="1">
        <v>2014</v>
      </c>
      <c r="J339" s="1">
        <v>160008</v>
      </c>
      <c r="K339" s="1" t="s">
        <v>498</v>
      </c>
      <c r="N339" s="8"/>
      <c r="O339"/>
      <c r="P339"/>
    </row>
    <row r="340" spans="1:16" x14ac:dyDescent="0.3">
      <c r="A340" s="1" t="s">
        <v>502</v>
      </c>
      <c r="B340" s="1">
        <v>17</v>
      </c>
      <c r="D340" t="s">
        <v>501</v>
      </c>
      <c r="E340" s="1" t="s">
        <v>58</v>
      </c>
      <c r="J340" s="1">
        <v>160008</v>
      </c>
      <c r="K340" s="1" t="s">
        <v>498</v>
      </c>
      <c r="N340" s="8"/>
      <c r="O340"/>
      <c r="P340"/>
    </row>
    <row r="341" spans="1:16" x14ac:dyDescent="0.3">
      <c r="A341" s="1">
        <v>170019</v>
      </c>
      <c r="B341" s="1">
        <v>17</v>
      </c>
      <c r="C341" s="1" t="s">
        <v>51</v>
      </c>
      <c r="D341" t="s">
        <v>680</v>
      </c>
      <c r="E341" s="1">
        <v>2018</v>
      </c>
      <c r="J341" s="1">
        <v>160010</v>
      </c>
      <c r="K341" s="1" t="s">
        <v>504</v>
      </c>
      <c r="N341" s="8"/>
      <c r="O341"/>
      <c r="P341"/>
    </row>
    <row r="342" spans="1:16" x14ac:dyDescent="0.3">
      <c r="A342" s="1" t="s">
        <v>511</v>
      </c>
      <c r="B342" s="1">
        <v>17</v>
      </c>
      <c r="D342" t="s">
        <v>505</v>
      </c>
      <c r="E342" s="1">
        <v>2018</v>
      </c>
      <c r="J342" s="1">
        <v>160010</v>
      </c>
      <c r="K342" s="1" t="s">
        <v>507</v>
      </c>
      <c r="N342" s="8"/>
      <c r="O342"/>
      <c r="P342"/>
    </row>
    <row r="343" spans="1:16" x14ac:dyDescent="0.3">
      <c r="A343" s="1" t="s">
        <v>515</v>
      </c>
      <c r="B343" s="1">
        <v>17</v>
      </c>
      <c r="D343" t="s">
        <v>508</v>
      </c>
      <c r="E343" s="1" t="s">
        <v>58</v>
      </c>
      <c r="G343" s="8" t="s">
        <v>510</v>
      </c>
      <c r="J343" s="1">
        <v>160011</v>
      </c>
      <c r="K343" s="1" t="s">
        <v>513</v>
      </c>
      <c r="N343" s="8"/>
      <c r="O343"/>
      <c r="P343"/>
    </row>
    <row r="344" spans="1:16" x14ac:dyDescent="0.3">
      <c r="A344" s="1" t="s">
        <v>516</v>
      </c>
      <c r="B344" s="1">
        <v>17</v>
      </c>
      <c r="D344" t="s">
        <v>509</v>
      </c>
      <c r="E344" s="1">
        <v>2023</v>
      </c>
      <c r="J344" s="1">
        <v>160011</v>
      </c>
      <c r="K344" s="1" t="s">
        <v>514</v>
      </c>
      <c r="N344" s="8"/>
      <c r="O344"/>
      <c r="P344"/>
    </row>
    <row r="345" spans="1:16" x14ac:dyDescent="0.3">
      <c r="A345" s="1">
        <v>170020</v>
      </c>
      <c r="B345" s="1">
        <v>17</v>
      </c>
      <c r="C345" s="1" t="s">
        <v>51</v>
      </c>
      <c r="D345" t="s">
        <v>517</v>
      </c>
      <c r="E345" s="1">
        <v>2018</v>
      </c>
      <c r="J345" s="1">
        <v>160013</v>
      </c>
      <c r="K345" s="1" t="s">
        <v>679</v>
      </c>
      <c r="N345" s="8"/>
      <c r="O345"/>
      <c r="P345"/>
    </row>
    <row r="346" spans="1:16" x14ac:dyDescent="0.3">
      <c r="A346" s="1">
        <v>170021</v>
      </c>
      <c r="B346" s="1">
        <v>17</v>
      </c>
      <c r="C346" s="1" t="s">
        <v>51</v>
      </c>
      <c r="D346" t="s">
        <v>518</v>
      </c>
      <c r="E346" s="1">
        <v>2022</v>
      </c>
      <c r="J346" s="1">
        <v>160013</v>
      </c>
      <c r="K346" s="1" t="s">
        <v>679</v>
      </c>
      <c r="N346" s="8"/>
      <c r="O346"/>
      <c r="P346"/>
    </row>
    <row r="347" spans="1:16" x14ac:dyDescent="0.3">
      <c r="A347" s="1">
        <v>170022</v>
      </c>
      <c r="B347" s="1">
        <v>17</v>
      </c>
      <c r="C347" s="1" t="s">
        <v>51</v>
      </c>
      <c r="D347" t="s">
        <v>522</v>
      </c>
      <c r="E347" s="1">
        <v>2007</v>
      </c>
      <c r="J347" s="1">
        <v>160015</v>
      </c>
      <c r="K347" s="1" t="s">
        <v>520</v>
      </c>
      <c r="N347" s="8"/>
      <c r="O347"/>
      <c r="P347"/>
    </row>
    <row r="348" spans="1:16" x14ac:dyDescent="0.3">
      <c r="A348" s="1" t="s">
        <v>524</v>
      </c>
      <c r="B348" s="1">
        <v>17</v>
      </c>
      <c r="D348" t="s">
        <v>521</v>
      </c>
      <c r="E348" s="1">
        <v>2005</v>
      </c>
      <c r="J348" s="1">
        <v>160015</v>
      </c>
      <c r="K348" s="1" t="s">
        <v>520</v>
      </c>
      <c r="N348" s="8"/>
      <c r="O348"/>
      <c r="P348"/>
    </row>
    <row r="349" spans="1:16" x14ac:dyDescent="0.3">
      <c r="A349" s="1" t="s">
        <v>525</v>
      </c>
      <c r="B349" s="1">
        <v>17</v>
      </c>
      <c r="D349" t="s">
        <v>523</v>
      </c>
      <c r="E349" s="1">
        <v>2015</v>
      </c>
      <c r="J349" s="1">
        <v>160015</v>
      </c>
      <c r="K349" s="1" t="s">
        <v>520</v>
      </c>
      <c r="N349" s="8"/>
      <c r="O349"/>
      <c r="P349"/>
    </row>
    <row r="350" spans="1:16" x14ac:dyDescent="0.3">
      <c r="A350" s="1">
        <v>170023</v>
      </c>
      <c r="B350" s="1">
        <v>17</v>
      </c>
      <c r="C350" s="1" t="s">
        <v>51</v>
      </c>
      <c r="D350" t="s">
        <v>528</v>
      </c>
      <c r="E350" s="1">
        <v>2011</v>
      </c>
      <c r="J350" s="1">
        <v>160016</v>
      </c>
      <c r="K350" s="1" t="s">
        <v>527</v>
      </c>
      <c r="N350" s="8"/>
      <c r="O350"/>
      <c r="P350"/>
    </row>
    <row r="351" spans="1:16" x14ac:dyDescent="0.3">
      <c r="A351" s="1" t="s">
        <v>530</v>
      </c>
      <c r="B351" s="1">
        <v>17</v>
      </c>
      <c r="D351" t="s">
        <v>529</v>
      </c>
      <c r="E351" s="1">
        <v>2015</v>
      </c>
      <c r="J351" s="1">
        <v>160016</v>
      </c>
      <c r="K351" s="1" t="s">
        <v>527</v>
      </c>
      <c r="N351" s="8"/>
      <c r="O351"/>
      <c r="P351"/>
    </row>
    <row r="352" spans="1:16" x14ac:dyDescent="0.3">
      <c r="A352" s="1">
        <v>170024</v>
      </c>
      <c r="B352" s="1">
        <v>17</v>
      </c>
      <c r="C352" s="1" t="s">
        <v>51</v>
      </c>
      <c r="D352" t="s">
        <v>532</v>
      </c>
      <c r="E352" s="1">
        <v>2013</v>
      </c>
      <c r="J352" s="1">
        <v>160017</v>
      </c>
      <c r="K352" s="1" t="s">
        <v>534</v>
      </c>
      <c r="N352" s="8"/>
      <c r="O352"/>
      <c r="P352"/>
    </row>
    <row r="353" spans="1:16" x14ac:dyDescent="0.3">
      <c r="A353" s="1" t="s">
        <v>535</v>
      </c>
      <c r="B353" s="1">
        <v>17</v>
      </c>
      <c r="D353" t="s">
        <v>533</v>
      </c>
      <c r="E353" s="1">
        <v>2017</v>
      </c>
      <c r="J353" s="1">
        <v>160017</v>
      </c>
      <c r="K353" s="1" t="s">
        <v>534</v>
      </c>
      <c r="N353" s="8"/>
      <c r="O353"/>
      <c r="P353"/>
    </row>
    <row r="354" spans="1:16" x14ac:dyDescent="0.3">
      <c r="A354" s="1">
        <v>170006</v>
      </c>
      <c r="B354" s="1">
        <v>17</v>
      </c>
      <c r="C354" s="1" t="s">
        <v>51</v>
      </c>
      <c r="D354" t="s">
        <v>218</v>
      </c>
      <c r="E354" s="1">
        <v>1991</v>
      </c>
      <c r="J354" s="1">
        <v>160018</v>
      </c>
      <c r="K354" s="1" t="s">
        <v>216</v>
      </c>
      <c r="N354" s="8"/>
      <c r="O354"/>
      <c r="P354"/>
    </row>
    <row r="355" spans="1:16" x14ac:dyDescent="0.3">
      <c r="A355" s="1" t="s">
        <v>538</v>
      </c>
      <c r="B355" s="1">
        <v>17</v>
      </c>
      <c r="D355" t="s">
        <v>536</v>
      </c>
      <c r="E355" s="1" t="s">
        <v>58</v>
      </c>
      <c r="J355" s="1">
        <v>160018</v>
      </c>
      <c r="K355" s="1" t="s">
        <v>216</v>
      </c>
      <c r="N355" s="8"/>
      <c r="O355"/>
      <c r="P355"/>
    </row>
    <row r="356" spans="1:16" x14ac:dyDescent="0.3">
      <c r="A356" s="1" t="s">
        <v>539</v>
      </c>
      <c r="B356" s="1">
        <v>17</v>
      </c>
      <c r="D356" t="s">
        <v>537</v>
      </c>
      <c r="E356" s="1" t="s">
        <v>58</v>
      </c>
      <c r="J356" s="1">
        <v>160018</v>
      </c>
      <c r="K356" s="1" t="s">
        <v>216</v>
      </c>
      <c r="N356" s="8"/>
      <c r="O356"/>
      <c r="P356"/>
    </row>
    <row r="357" spans="1:16" x14ac:dyDescent="0.3">
      <c r="A357" s="1" t="s">
        <v>540</v>
      </c>
      <c r="B357" s="1">
        <v>17</v>
      </c>
      <c r="D357" t="s">
        <v>481</v>
      </c>
      <c r="E357" s="1" t="s">
        <v>58</v>
      </c>
      <c r="J357" s="1">
        <v>160018</v>
      </c>
      <c r="K357" s="1" t="s">
        <v>216</v>
      </c>
      <c r="N357" s="8"/>
      <c r="O357"/>
      <c r="P357"/>
    </row>
    <row r="358" spans="1:16" x14ac:dyDescent="0.3">
      <c r="A358" s="1">
        <v>170007</v>
      </c>
      <c r="B358" s="1">
        <v>17</v>
      </c>
      <c r="C358" s="1" t="s">
        <v>51</v>
      </c>
      <c r="D358" t="s">
        <v>221</v>
      </c>
      <c r="E358" s="1">
        <v>1992</v>
      </c>
      <c r="J358" s="1">
        <v>160019</v>
      </c>
      <c r="K358" s="1" t="s">
        <v>219</v>
      </c>
      <c r="N358" s="8"/>
      <c r="O358"/>
      <c r="P358"/>
    </row>
    <row r="359" spans="1:16" x14ac:dyDescent="0.3">
      <c r="A359" s="1" t="s">
        <v>543</v>
      </c>
      <c r="B359" s="1">
        <v>17</v>
      </c>
      <c r="D359" t="s">
        <v>541</v>
      </c>
      <c r="E359" s="1">
        <v>1982</v>
      </c>
      <c r="J359" s="1">
        <v>160019</v>
      </c>
      <c r="K359" s="1" t="s">
        <v>219</v>
      </c>
      <c r="N359" s="8"/>
      <c r="O359"/>
      <c r="P359"/>
    </row>
    <row r="360" spans="1:16" x14ac:dyDescent="0.3">
      <c r="A360" s="1" t="s">
        <v>544</v>
      </c>
      <c r="B360" s="1">
        <v>17</v>
      </c>
      <c r="D360" t="s">
        <v>542</v>
      </c>
      <c r="E360" s="1">
        <v>1984</v>
      </c>
      <c r="J360" s="1">
        <v>160019</v>
      </c>
      <c r="K360" s="1" t="s">
        <v>219</v>
      </c>
      <c r="N360" s="8"/>
      <c r="O360"/>
      <c r="P360"/>
    </row>
    <row r="361" spans="1:16" x14ac:dyDescent="0.3">
      <c r="A361" s="1" t="s">
        <v>545</v>
      </c>
      <c r="B361" s="1">
        <v>17</v>
      </c>
      <c r="D361" t="s">
        <v>463</v>
      </c>
      <c r="E361" s="1">
        <v>1987</v>
      </c>
      <c r="J361" s="1">
        <v>160019</v>
      </c>
      <c r="K361" s="1" t="s">
        <v>219</v>
      </c>
      <c r="N361" s="8"/>
      <c r="O361"/>
      <c r="P361"/>
    </row>
    <row r="362" spans="1:16" x14ac:dyDescent="0.3">
      <c r="A362" s="1">
        <v>170025</v>
      </c>
      <c r="B362" s="1">
        <v>17</v>
      </c>
      <c r="C362" s="1" t="s">
        <v>51</v>
      </c>
      <c r="D362" t="s">
        <v>154</v>
      </c>
      <c r="E362" s="1">
        <v>1997</v>
      </c>
      <c r="J362" s="1">
        <v>160020</v>
      </c>
      <c r="K362" s="1" t="s">
        <v>395</v>
      </c>
      <c r="N362" s="8"/>
      <c r="O362"/>
      <c r="P362"/>
    </row>
    <row r="363" spans="1:16" x14ac:dyDescent="0.3">
      <c r="A363" s="1" t="s">
        <v>548</v>
      </c>
      <c r="B363" s="1">
        <v>17</v>
      </c>
      <c r="D363" t="s">
        <v>546</v>
      </c>
      <c r="E363" s="1">
        <v>2000</v>
      </c>
      <c r="J363" s="1">
        <v>160020</v>
      </c>
      <c r="K363" s="1" t="s">
        <v>395</v>
      </c>
      <c r="N363" s="8"/>
      <c r="O363"/>
      <c r="P363"/>
    </row>
    <row r="364" spans="1:16" x14ac:dyDescent="0.3">
      <c r="A364" s="1" t="s">
        <v>549</v>
      </c>
      <c r="B364" s="1">
        <v>17</v>
      </c>
      <c r="D364" t="s">
        <v>547</v>
      </c>
      <c r="E364" s="1">
        <v>2005</v>
      </c>
      <c r="J364" s="1">
        <v>160020</v>
      </c>
      <c r="K364" s="1" t="s">
        <v>395</v>
      </c>
      <c r="N364" s="8"/>
      <c r="O364"/>
      <c r="P364"/>
    </row>
    <row r="365" spans="1:16" x14ac:dyDescent="0.3">
      <c r="A365" s="1">
        <v>170026</v>
      </c>
      <c r="B365" s="1">
        <v>17</v>
      </c>
      <c r="C365" s="1" t="s">
        <v>51</v>
      </c>
      <c r="D365" t="s">
        <v>24</v>
      </c>
      <c r="E365" s="1">
        <v>1981</v>
      </c>
      <c r="F365" s="1">
        <v>2015</v>
      </c>
      <c r="I365" s="10" t="s">
        <v>58</v>
      </c>
      <c r="J365" s="1">
        <v>160021</v>
      </c>
      <c r="K365" s="1" t="s">
        <v>228</v>
      </c>
      <c r="M365" s="8" t="s">
        <v>777</v>
      </c>
      <c r="P365" s="4"/>
    </row>
    <row r="366" spans="1:16" x14ac:dyDescent="0.3">
      <c r="A366" s="1">
        <v>170027</v>
      </c>
      <c r="B366" s="1">
        <v>17</v>
      </c>
      <c r="C366" s="1" t="s">
        <v>51</v>
      </c>
      <c r="D366" t="s">
        <v>229</v>
      </c>
      <c r="E366" s="1">
        <v>1983</v>
      </c>
      <c r="J366" s="1">
        <v>160021</v>
      </c>
      <c r="K366" s="1" t="s">
        <v>228</v>
      </c>
      <c r="N366" s="8"/>
      <c r="O366"/>
      <c r="P366"/>
    </row>
    <row r="367" spans="1:16" x14ac:dyDescent="0.3">
      <c r="A367" s="1" t="s">
        <v>550</v>
      </c>
      <c r="B367" s="1">
        <v>17</v>
      </c>
      <c r="D367" t="s">
        <v>424</v>
      </c>
      <c r="E367" s="1">
        <v>1979</v>
      </c>
      <c r="J367" s="1">
        <v>160021</v>
      </c>
      <c r="K367" s="1" t="s">
        <v>228</v>
      </c>
      <c r="N367" s="8"/>
      <c r="O367"/>
      <c r="P367"/>
    </row>
    <row r="368" spans="1:16" x14ac:dyDescent="0.3">
      <c r="A368" s="1">
        <v>170030</v>
      </c>
      <c r="B368" s="1">
        <v>17</v>
      </c>
      <c r="C368" s="1" t="s">
        <v>51</v>
      </c>
      <c r="D368" t="s">
        <v>560</v>
      </c>
      <c r="E368" s="1">
        <v>2008</v>
      </c>
      <c r="J368" s="1">
        <v>160023</v>
      </c>
      <c r="K368" s="1" t="s">
        <v>558</v>
      </c>
      <c r="N368" s="8"/>
      <c r="O368"/>
      <c r="P368"/>
    </row>
    <row r="369" spans="1:16" x14ac:dyDescent="0.3">
      <c r="A369" s="1" t="s">
        <v>561</v>
      </c>
      <c r="B369" s="1">
        <v>17</v>
      </c>
      <c r="D369" t="s">
        <v>476</v>
      </c>
      <c r="E369" s="1">
        <v>1994</v>
      </c>
      <c r="J369" s="1">
        <v>160023</v>
      </c>
      <c r="K369" s="1" t="s">
        <v>558</v>
      </c>
      <c r="N369" s="8"/>
      <c r="O369"/>
      <c r="P369"/>
    </row>
    <row r="370" spans="1:16" x14ac:dyDescent="0.3">
      <c r="A370" s="1" t="s">
        <v>562</v>
      </c>
      <c r="B370" s="1">
        <v>17</v>
      </c>
      <c r="D370" t="s">
        <v>559</v>
      </c>
      <c r="E370" s="1" t="s">
        <v>58</v>
      </c>
      <c r="F370" s="1">
        <v>2007</v>
      </c>
      <c r="G370" s="8" t="s">
        <v>798</v>
      </c>
      <c r="H370" s="9" t="s">
        <v>759</v>
      </c>
      <c r="I370" s="10" t="s">
        <v>797</v>
      </c>
      <c r="J370" s="1">
        <v>160023</v>
      </c>
      <c r="K370" s="1" t="s">
        <v>558</v>
      </c>
      <c r="M370" s="8" t="s">
        <v>62</v>
      </c>
      <c r="P370" s="4"/>
    </row>
    <row r="371" spans="1:16" x14ac:dyDescent="0.3">
      <c r="A371" s="1">
        <v>170031</v>
      </c>
      <c r="B371" s="1">
        <v>17</v>
      </c>
      <c r="C371" s="1" t="s">
        <v>51</v>
      </c>
      <c r="D371" t="s">
        <v>564</v>
      </c>
      <c r="E371" s="1">
        <v>2006</v>
      </c>
      <c r="J371" s="1">
        <v>160024</v>
      </c>
      <c r="K371" s="1" t="s">
        <v>556</v>
      </c>
      <c r="N371" s="8"/>
      <c r="O371"/>
      <c r="P371"/>
    </row>
    <row r="372" spans="1:16" x14ac:dyDescent="0.3">
      <c r="A372" s="1" t="s">
        <v>565</v>
      </c>
      <c r="B372" s="1">
        <v>17</v>
      </c>
      <c r="D372" t="s">
        <v>563</v>
      </c>
      <c r="E372" s="1">
        <v>2002</v>
      </c>
      <c r="J372" s="1">
        <v>160024</v>
      </c>
      <c r="K372" s="1" t="s">
        <v>556</v>
      </c>
      <c r="N372" s="8"/>
      <c r="O372"/>
      <c r="P372"/>
    </row>
    <row r="373" spans="1:16" x14ac:dyDescent="0.3">
      <c r="A373" s="1">
        <v>170032</v>
      </c>
      <c r="B373" s="1">
        <v>17</v>
      </c>
      <c r="C373" s="1" t="s">
        <v>51</v>
      </c>
      <c r="D373" t="s">
        <v>169</v>
      </c>
      <c r="E373" s="1">
        <v>1982</v>
      </c>
      <c r="J373" s="1">
        <v>160025</v>
      </c>
      <c r="K373" s="1" t="s">
        <v>235</v>
      </c>
      <c r="N373" s="8"/>
      <c r="O373"/>
      <c r="P373"/>
    </row>
    <row r="374" spans="1:16" x14ac:dyDescent="0.3">
      <c r="A374" s="1">
        <v>170033</v>
      </c>
      <c r="B374" s="1">
        <v>17</v>
      </c>
      <c r="C374" s="1" t="s">
        <v>51</v>
      </c>
      <c r="D374" t="s">
        <v>153</v>
      </c>
      <c r="E374" s="1">
        <v>1983</v>
      </c>
      <c r="J374" s="1">
        <v>160025</v>
      </c>
      <c r="K374" s="1" t="s">
        <v>235</v>
      </c>
      <c r="N374" s="8"/>
      <c r="O374"/>
      <c r="P374"/>
    </row>
    <row r="375" spans="1:16" x14ac:dyDescent="0.3">
      <c r="A375" s="1">
        <v>170034</v>
      </c>
      <c r="B375" s="1">
        <v>17</v>
      </c>
      <c r="C375" s="1" t="s">
        <v>51</v>
      </c>
      <c r="D375" t="s">
        <v>567</v>
      </c>
      <c r="E375" s="1">
        <v>1987</v>
      </c>
      <c r="J375" s="1">
        <v>160025</v>
      </c>
      <c r="K375" s="1" t="s">
        <v>235</v>
      </c>
      <c r="N375" s="8"/>
      <c r="O375"/>
      <c r="P375"/>
    </row>
    <row r="376" spans="1:16" x14ac:dyDescent="0.3">
      <c r="A376" s="1" t="s">
        <v>569</v>
      </c>
      <c r="B376" s="1">
        <v>17</v>
      </c>
      <c r="D376" t="s">
        <v>568</v>
      </c>
      <c r="E376" s="1">
        <v>1984</v>
      </c>
      <c r="J376" s="1">
        <v>160025</v>
      </c>
      <c r="K376" s="1" t="s">
        <v>235</v>
      </c>
      <c r="N376" s="8"/>
      <c r="O376"/>
      <c r="P376"/>
    </row>
    <row r="377" spans="1:16" x14ac:dyDescent="0.3">
      <c r="A377" s="1">
        <v>170035</v>
      </c>
      <c r="B377" s="1">
        <v>17</v>
      </c>
      <c r="C377" s="1" t="s">
        <v>51</v>
      </c>
      <c r="D377" t="s">
        <v>175</v>
      </c>
      <c r="E377" s="1">
        <v>1984</v>
      </c>
      <c r="J377" s="1">
        <v>160026</v>
      </c>
      <c r="K377" s="1" t="s">
        <v>237</v>
      </c>
      <c r="N377" s="8"/>
      <c r="O377"/>
      <c r="P377"/>
    </row>
    <row r="378" spans="1:16" x14ac:dyDescent="0.3">
      <c r="A378" s="1">
        <v>170036</v>
      </c>
      <c r="B378" s="1">
        <v>17</v>
      </c>
      <c r="C378" s="1" t="s">
        <v>51</v>
      </c>
      <c r="D378" t="s">
        <v>811</v>
      </c>
      <c r="E378" s="1">
        <v>1990</v>
      </c>
      <c r="J378" s="1">
        <v>160027</v>
      </c>
      <c r="K378" s="1" t="s">
        <v>239</v>
      </c>
      <c r="N378" s="8"/>
      <c r="O378"/>
      <c r="P378"/>
    </row>
    <row r="379" spans="1:16" x14ac:dyDescent="0.3">
      <c r="A379" s="1">
        <v>170037</v>
      </c>
      <c r="B379" s="1">
        <v>17</v>
      </c>
      <c r="C379" s="1" t="s">
        <v>51</v>
      </c>
      <c r="D379" t="s">
        <v>522</v>
      </c>
      <c r="E379" s="1">
        <v>1994</v>
      </c>
      <c r="J379" s="1">
        <v>160027</v>
      </c>
      <c r="K379" s="1" t="s">
        <v>239</v>
      </c>
      <c r="N379" s="8"/>
      <c r="O379"/>
      <c r="P379"/>
    </row>
    <row r="380" spans="1:16" x14ac:dyDescent="0.3">
      <c r="A380" s="1" t="s">
        <v>571</v>
      </c>
      <c r="B380" s="1">
        <v>17</v>
      </c>
      <c r="D380" t="s">
        <v>471</v>
      </c>
      <c r="E380" s="1">
        <v>1996</v>
      </c>
      <c r="J380" s="1">
        <v>160027</v>
      </c>
      <c r="K380" s="1" t="s">
        <v>239</v>
      </c>
      <c r="N380" s="8"/>
      <c r="O380"/>
      <c r="P380"/>
    </row>
    <row r="381" spans="1:16" x14ac:dyDescent="0.3">
      <c r="A381" s="1">
        <v>170038</v>
      </c>
      <c r="B381" s="1">
        <v>17</v>
      </c>
      <c r="C381" s="1" t="s">
        <v>51</v>
      </c>
      <c r="D381" t="s">
        <v>575</v>
      </c>
      <c r="E381" s="1">
        <v>1994</v>
      </c>
      <c r="J381" s="1">
        <v>160028</v>
      </c>
      <c r="K381" s="1" t="s">
        <v>572</v>
      </c>
      <c r="N381" s="8"/>
      <c r="O381"/>
      <c r="P381"/>
    </row>
    <row r="382" spans="1:16" x14ac:dyDescent="0.3">
      <c r="A382" s="1" t="s">
        <v>576</v>
      </c>
      <c r="B382" s="1">
        <v>17</v>
      </c>
      <c r="D382" t="s">
        <v>574</v>
      </c>
      <c r="E382" s="1">
        <v>1992</v>
      </c>
      <c r="J382" s="1">
        <v>160028</v>
      </c>
      <c r="K382" s="1" t="s">
        <v>572</v>
      </c>
      <c r="N382" s="8"/>
      <c r="O382"/>
      <c r="P382"/>
    </row>
    <row r="383" spans="1:16" x14ac:dyDescent="0.3">
      <c r="A383" s="1">
        <v>170010</v>
      </c>
      <c r="B383" s="1">
        <v>17</v>
      </c>
      <c r="C383" s="1" t="s">
        <v>51</v>
      </c>
      <c r="D383" t="s">
        <v>267</v>
      </c>
      <c r="E383" s="1">
        <v>2005</v>
      </c>
      <c r="J383" s="1">
        <v>160029</v>
      </c>
      <c r="K383" s="1" t="s">
        <v>265</v>
      </c>
      <c r="N383" s="8"/>
      <c r="O383"/>
      <c r="P383"/>
    </row>
    <row r="384" spans="1:16" x14ac:dyDescent="0.3">
      <c r="A384" s="1">
        <v>170011</v>
      </c>
      <c r="B384" s="1">
        <v>17</v>
      </c>
      <c r="C384" s="1" t="s">
        <v>51</v>
      </c>
      <c r="D384" t="s">
        <v>268</v>
      </c>
      <c r="E384" s="1">
        <v>2008</v>
      </c>
      <c r="J384" s="1">
        <v>160029</v>
      </c>
      <c r="K384" s="1" t="s">
        <v>265</v>
      </c>
      <c r="N384" s="8"/>
      <c r="O384"/>
      <c r="P384"/>
    </row>
    <row r="385" spans="1:16" x14ac:dyDescent="0.3">
      <c r="A385" s="1" t="s">
        <v>278</v>
      </c>
      <c r="B385" s="1">
        <v>17</v>
      </c>
      <c r="D385" t="s">
        <v>269</v>
      </c>
      <c r="E385" s="1">
        <v>2016</v>
      </c>
      <c r="J385" s="1">
        <v>160029</v>
      </c>
      <c r="K385" s="1" t="s">
        <v>265</v>
      </c>
      <c r="N385" s="8"/>
      <c r="O385"/>
      <c r="P385"/>
    </row>
    <row r="386" spans="1:16" x14ac:dyDescent="0.3">
      <c r="A386" s="1" t="s">
        <v>270</v>
      </c>
      <c r="B386" s="1">
        <v>17</v>
      </c>
      <c r="D386" t="s">
        <v>279</v>
      </c>
      <c r="E386" s="1">
        <v>2011</v>
      </c>
      <c r="J386" s="1">
        <v>160030</v>
      </c>
      <c r="K386" s="1" t="s">
        <v>275</v>
      </c>
      <c r="N386" s="8"/>
      <c r="O386"/>
      <c r="P386"/>
    </row>
    <row r="387" spans="1:16" x14ac:dyDescent="0.3">
      <c r="A387" s="1">
        <v>170012</v>
      </c>
      <c r="B387" s="1">
        <v>17</v>
      </c>
      <c r="C387" s="1" t="s">
        <v>51</v>
      </c>
      <c r="D387" t="s">
        <v>302</v>
      </c>
      <c r="E387" s="1">
        <v>1975</v>
      </c>
      <c r="J387" s="1">
        <v>160031</v>
      </c>
      <c r="K387" s="1" t="s">
        <v>300</v>
      </c>
      <c r="N387" s="8"/>
      <c r="O387"/>
      <c r="P387"/>
    </row>
    <row r="388" spans="1:16" x14ac:dyDescent="0.3">
      <c r="A388" s="1">
        <v>170013</v>
      </c>
      <c r="B388" s="1">
        <v>17</v>
      </c>
      <c r="C388" s="1" t="s">
        <v>51</v>
      </c>
      <c r="D388" t="s">
        <v>303</v>
      </c>
      <c r="E388" s="1">
        <v>1978</v>
      </c>
      <c r="J388" s="1">
        <v>160031</v>
      </c>
      <c r="K388" s="1" t="s">
        <v>300</v>
      </c>
      <c r="N388" s="8"/>
      <c r="O388"/>
      <c r="P388"/>
    </row>
    <row r="389" spans="1:16" x14ac:dyDescent="0.3">
      <c r="A389" s="1" t="s">
        <v>578</v>
      </c>
      <c r="B389" s="1">
        <v>17</v>
      </c>
      <c r="D389" t="s">
        <v>422</v>
      </c>
      <c r="E389" s="1">
        <v>1981</v>
      </c>
      <c r="J389" s="1">
        <v>160031</v>
      </c>
      <c r="K389" s="1" t="s">
        <v>300</v>
      </c>
      <c r="N389" s="8"/>
      <c r="O389"/>
      <c r="P389"/>
    </row>
    <row r="390" spans="1:16" x14ac:dyDescent="0.3">
      <c r="A390" s="1" t="s">
        <v>579</v>
      </c>
      <c r="B390" s="1">
        <v>17</v>
      </c>
      <c r="D390" t="s">
        <v>577</v>
      </c>
      <c r="E390" s="1">
        <v>1981</v>
      </c>
      <c r="J390" s="1">
        <v>160031</v>
      </c>
      <c r="K390" s="1" t="s">
        <v>300</v>
      </c>
      <c r="N390" s="8"/>
      <c r="O390"/>
      <c r="P390"/>
    </row>
    <row r="391" spans="1:16" x14ac:dyDescent="0.3">
      <c r="A391" s="1" t="s">
        <v>580</v>
      </c>
      <c r="B391" s="1">
        <v>17</v>
      </c>
      <c r="D391" t="s">
        <v>437</v>
      </c>
      <c r="E391" s="1">
        <v>1986</v>
      </c>
      <c r="J391" s="1">
        <v>160031</v>
      </c>
      <c r="K391" s="1" t="s">
        <v>300</v>
      </c>
      <c r="N391" s="8"/>
      <c r="O391"/>
      <c r="P391"/>
    </row>
    <row r="392" spans="1:16" x14ac:dyDescent="0.3">
      <c r="A392" s="1">
        <v>170039</v>
      </c>
      <c r="B392" s="1">
        <v>17</v>
      </c>
      <c r="C392" s="1" t="s">
        <v>51</v>
      </c>
      <c r="D392" t="s">
        <v>575</v>
      </c>
      <c r="E392" s="1">
        <v>1997</v>
      </c>
      <c r="J392" s="1">
        <v>160032</v>
      </c>
      <c r="K392" s="1" t="s">
        <v>581</v>
      </c>
      <c r="N392" s="8"/>
      <c r="O392"/>
      <c r="P392"/>
    </row>
    <row r="393" spans="1:16" x14ac:dyDescent="0.3">
      <c r="A393" s="1" t="s">
        <v>583</v>
      </c>
      <c r="B393" s="1">
        <v>17</v>
      </c>
      <c r="D393" t="s">
        <v>582</v>
      </c>
      <c r="E393" s="1">
        <v>1992</v>
      </c>
      <c r="J393" s="1">
        <v>160032</v>
      </c>
      <c r="K393" s="1" t="s">
        <v>581</v>
      </c>
      <c r="N393" s="8"/>
      <c r="O393"/>
      <c r="P393"/>
    </row>
    <row r="394" spans="1:16" x14ac:dyDescent="0.3">
      <c r="A394" s="1">
        <v>170040</v>
      </c>
      <c r="B394" s="1">
        <v>17</v>
      </c>
      <c r="C394" s="1" t="s">
        <v>51</v>
      </c>
      <c r="D394" t="s">
        <v>175</v>
      </c>
      <c r="E394" s="1">
        <v>1987</v>
      </c>
      <c r="J394" s="1">
        <v>160033</v>
      </c>
      <c r="K394" s="1" t="s">
        <v>584</v>
      </c>
      <c r="N394" s="8"/>
      <c r="O394"/>
      <c r="P394"/>
    </row>
    <row r="395" spans="1:16" x14ac:dyDescent="0.3">
      <c r="A395" s="1">
        <v>170041</v>
      </c>
      <c r="B395" s="1">
        <v>17</v>
      </c>
      <c r="C395" s="1" t="s">
        <v>51</v>
      </c>
      <c r="D395" t="s">
        <v>586</v>
      </c>
      <c r="E395" s="1">
        <v>1998</v>
      </c>
      <c r="J395" s="1">
        <v>160033</v>
      </c>
      <c r="K395" s="1" t="s">
        <v>584</v>
      </c>
      <c r="N395" s="8"/>
      <c r="O395"/>
      <c r="P395"/>
    </row>
    <row r="396" spans="1:16" x14ac:dyDescent="0.3">
      <c r="A396" s="1">
        <v>170043</v>
      </c>
      <c r="B396" s="1">
        <v>17</v>
      </c>
      <c r="C396" s="1" t="s">
        <v>51</v>
      </c>
      <c r="D396" t="s">
        <v>594</v>
      </c>
      <c r="E396" s="1">
        <v>1992</v>
      </c>
      <c r="J396" s="1">
        <v>160034</v>
      </c>
      <c r="K396" s="1" t="s">
        <v>593</v>
      </c>
      <c r="N396" s="8"/>
      <c r="O396"/>
      <c r="P396"/>
    </row>
    <row r="397" spans="1:16" x14ac:dyDescent="0.3">
      <c r="A397" s="1" t="s">
        <v>596</v>
      </c>
      <c r="B397" s="1">
        <v>17</v>
      </c>
      <c r="D397" t="s">
        <v>595</v>
      </c>
      <c r="E397" s="1">
        <v>1996</v>
      </c>
      <c r="J397" s="1">
        <v>160034</v>
      </c>
      <c r="K397" s="1" t="s">
        <v>593</v>
      </c>
      <c r="N397" s="8"/>
      <c r="O397"/>
      <c r="P397"/>
    </row>
    <row r="398" spans="1:16" x14ac:dyDescent="0.3">
      <c r="A398" s="1">
        <v>170044</v>
      </c>
      <c r="B398" s="1">
        <v>17</v>
      </c>
      <c r="C398" s="1" t="s">
        <v>51</v>
      </c>
      <c r="D398" t="s">
        <v>773</v>
      </c>
      <c r="E398" s="1">
        <v>2004</v>
      </c>
      <c r="J398" s="1">
        <v>160035</v>
      </c>
      <c r="K398" s="1" t="s">
        <v>598</v>
      </c>
      <c r="N398" s="8"/>
      <c r="O398"/>
      <c r="P398"/>
    </row>
    <row r="399" spans="1:16" x14ac:dyDescent="0.3">
      <c r="A399" s="1">
        <v>170045</v>
      </c>
      <c r="B399" s="1">
        <v>17</v>
      </c>
      <c r="C399" s="1" t="s">
        <v>51</v>
      </c>
      <c r="D399" t="s">
        <v>599</v>
      </c>
      <c r="E399" s="1">
        <v>2015</v>
      </c>
      <c r="J399" s="1">
        <v>160035</v>
      </c>
      <c r="K399" s="1" t="s">
        <v>598</v>
      </c>
      <c r="N399" s="8"/>
      <c r="O399"/>
      <c r="P399"/>
    </row>
    <row r="400" spans="1:16" x14ac:dyDescent="0.3">
      <c r="A400" s="1" t="s">
        <v>600</v>
      </c>
      <c r="B400" s="1">
        <v>17</v>
      </c>
      <c r="D400" t="s">
        <v>809</v>
      </c>
      <c r="E400" s="1">
        <v>2009</v>
      </c>
      <c r="J400" s="1">
        <v>160035</v>
      </c>
      <c r="K400" s="1" t="s">
        <v>598</v>
      </c>
      <c r="N400" s="8"/>
      <c r="O400"/>
      <c r="P400"/>
    </row>
    <row r="401" spans="1:16" x14ac:dyDescent="0.3">
      <c r="A401" s="1">
        <v>170046</v>
      </c>
      <c r="B401" s="1">
        <v>17</v>
      </c>
      <c r="C401" s="1" t="s">
        <v>51</v>
      </c>
      <c r="D401" t="s">
        <v>602</v>
      </c>
      <c r="E401" s="1">
        <v>2002</v>
      </c>
      <c r="J401" s="1">
        <v>160036</v>
      </c>
      <c r="K401" s="1" t="s">
        <v>604</v>
      </c>
      <c r="N401" s="8"/>
      <c r="O401"/>
      <c r="P401"/>
    </row>
    <row r="402" spans="1:16" x14ac:dyDescent="0.3">
      <c r="A402" s="1">
        <v>170047</v>
      </c>
      <c r="B402" s="1">
        <v>17</v>
      </c>
      <c r="C402" s="1" t="s">
        <v>51</v>
      </c>
      <c r="D402" t="s">
        <v>603</v>
      </c>
      <c r="E402" s="1">
        <v>2006</v>
      </c>
      <c r="J402" s="1">
        <v>160036</v>
      </c>
      <c r="K402" s="1" t="s">
        <v>604</v>
      </c>
      <c r="N402" s="8"/>
      <c r="O402"/>
      <c r="P402"/>
    </row>
    <row r="403" spans="1:16" x14ac:dyDescent="0.3">
      <c r="A403" s="1" t="s">
        <v>609</v>
      </c>
      <c r="B403" s="1">
        <v>17</v>
      </c>
      <c r="D403" t="s">
        <v>607</v>
      </c>
      <c r="E403" s="1">
        <v>2012</v>
      </c>
      <c r="J403" s="1">
        <v>160037</v>
      </c>
      <c r="K403" s="1" t="s">
        <v>606</v>
      </c>
      <c r="N403" s="8"/>
      <c r="O403"/>
      <c r="P403"/>
    </row>
    <row r="404" spans="1:16" x14ac:dyDescent="0.3">
      <c r="A404" s="1" t="s">
        <v>610</v>
      </c>
      <c r="B404" s="1">
        <v>17</v>
      </c>
      <c r="D404" t="s">
        <v>608</v>
      </c>
      <c r="E404" s="1">
        <v>2014</v>
      </c>
      <c r="J404" s="1">
        <v>160037</v>
      </c>
      <c r="K404" s="1" t="s">
        <v>606</v>
      </c>
      <c r="N404" s="8"/>
      <c r="O404"/>
      <c r="P404"/>
    </row>
    <row r="405" spans="1:16" x14ac:dyDescent="0.3">
      <c r="A405" s="1">
        <v>170048</v>
      </c>
      <c r="B405" s="1">
        <v>17</v>
      </c>
      <c r="C405" s="1" t="s">
        <v>51</v>
      </c>
      <c r="D405" t="s">
        <v>325</v>
      </c>
      <c r="E405" s="1">
        <v>1982</v>
      </c>
      <c r="J405" s="1">
        <v>160038</v>
      </c>
      <c r="K405" s="1" t="s">
        <v>323</v>
      </c>
      <c r="N405" s="8"/>
      <c r="O405"/>
      <c r="P405"/>
    </row>
    <row r="406" spans="1:16" x14ac:dyDescent="0.3">
      <c r="A406" s="1" t="s">
        <v>612</v>
      </c>
      <c r="B406" s="1">
        <v>17</v>
      </c>
      <c r="D406" t="s">
        <v>611</v>
      </c>
      <c r="E406" s="1">
        <v>1986</v>
      </c>
      <c r="J406" s="1">
        <v>160038</v>
      </c>
      <c r="K406" s="1" t="s">
        <v>323</v>
      </c>
      <c r="N406" s="8"/>
      <c r="O406"/>
      <c r="P406"/>
    </row>
    <row r="407" spans="1:16" x14ac:dyDescent="0.3">
      <c r="A407" s="1">
        <v>170015</v>
      </c>
      <c r="B407" s="1">
        <v>17</v>
      </c>
      <c r="C407" s="1" t="s">
        <v>51</v>
      </c>
      <c r="D407" t="s">
        <v>327</v>
      </c>
      <c r="E407" s="1">
        <v>2005</v>
      </c>
      <c r="J407" s="1">
        <v>160039</v>
      </c>
      <c r="K407" s="1" t="s">
        <v>328</v>
      </c>
      <c r="N407" s="8"/>
      <c r="O407"/>
      <c r="P407"/>
    </row>
    <row r="408" spans="1:16" x14ac:dyDescent="0.3">
      <c r="A408" s="1" t="s">
        <v>615</v>
      </c>
      <c r="B408" s="1">
        <v>17</v>
      </c>
      <c r="D408" t="s">
        <v>613</v>
      </c>
      <c r="E408" s="1">
        <v>1996</v>
      </c>
      <c r="J408" s="1">
        <v>160039</v>
      </c>
      <c r="K408" s="1" t="s">
        <v>328</v>
      </c>
      <c r="N408" s="8"/>
      <c r="O408"/>
      <c r="P408"/>
    </row>
    <row r="409" spans="1:16" x14ac:dyDescent="0.3">
      <c r="A409" s="1" t="s">
        <v>616</v>
      </c>
      <c r="B409" s="1">
        <v>17</v>
      </c>
      <c r="D409" t="s">
        <v>425</v>
      </c>
      <c r="E409" s="1">
        <v>1999</v>
      </c>
      <c r="J409" s="1">
        <v>160039</v>
      </c>
      <c r="K409" s="1" t="s">
        <v>328</v>
      </c>
      <c r="N409" s="8"/>
      <c r="O409"/>
      <c r="P409"/>
    </row>
    <row r="410" spans="1:16" x14ac:dyDescent="0.3">
      <c r="A410" s="1" t="s">
        <v>617</v>
      </c>
      <c r="B410" s="1">
        <v>17</v>
      </c>
      <c r="D410" t="s">
        <v>614</v>
      </c>
      <c r="E410" s="1">
        <v>2001</v>
      </c>
      <c r="J410" s="1">
        <v>160039</v>
      </c>
      <c r="K410" s="1" t="s">
        <v>328</v>
      </c>
      <c r="N410" s="8"/>
      <c r="O410"/>
      <c r="P410"/>
    </row>
    <row r="411" spans="1:16" x14ac:dyDescent="0.3">
      <c r="A411" s="1">
        <v>170042</v>
      </c>
      <c r="B411" s="1">
        <v>17</v>
      </c>
      <c r="C411" s="1" t="s">
        <v>51</v>
      </c>
      <c r="D411" t="s">
        <v>589</v>
      </c>
      <c r="E411" s="1">
        <v>2003</v>
      </c>
      <c r="J411" s="1">
        <v>160042</v>
      </c>
      <c r="K411" s="1" t="s">
        <v>587</v>
      </c>
      <c r="N411" s="8"/>
      <c r="O411"/>
      <c r="P411"/>
    </row>
    <row r="412" spans="1:16" x14ac:dyDescent="0.3">
      <c r="A412" s="1" t="s">
        <v>591</v>
      </c>
      <c r="B412" s="1">
        <v>17</v>
      </c>
      <c r="D412" t="s">
        <v>590</v>
      </c>
      <c r="E412" s="1" t="s">
        <v>58</v>
      </c>
      <c r="J412" s="1">
        <v>160042</v>
      </c>
      <c r="K412" s="1" t="s">
        <v>587</v>
      </c>
      <c r="N412" s="8"/>
      <c r="O412"/>
      <c r="P412"/>
    </row>
    <row r="413" spans="1:16" x14ac:dyDescent="0.3">
      <c r="A413" s="1">
        <v>170028</v>
      </c>
      <c r="B413" s="1">
        <v>17</v>
      </c>
      <c r="C413" s="1" t="s">
        <v>51</v>
      </c>
      <c r="D413" t="s">
        <v>174</v>
      </c>
      <c r="E413" s="1">
        <v>1987</v>
      </c>
      <c r="K413" s="1">
        <v>160022</v>
      </c>
      <c r="N413" s="8"/>
      <c r="O413"/>
      <c r="P413"/>
    </row>
    <row r="414" spans="1:16" x14ac:dyDescent="0.3">
      <c r="A414" s="1">
        <v>170029</v>
      </c>
      <c r="B414" s="1">
        <v>17</v>
      </c>
      <c r="C414" s="1" t="s">
        <v>51</v>
      </c>
      <c r="D414" t="s">
        <v>554</v>
      </c>
      <c r="E414" s="1">
        <v>1989</v>
      </c>
      <c r="K414" s="1">
        <v>160022</v>
      </c>
      <c r="N414" s="8"/>
      <c r="O414"/>
      <c r="P414"/>
    </row>
    <row r="415" spans="1:16" x14ac:dyDescent="0.3">
      <c r="A415" s="1">
        <v>170047</v>
      </c>
      <c r="B415" s="1">
        <v>17</v>
      </c>
      <c r="C415" s="1" t="s">
        <v>51</v>
      </c>
      <c r="D415" t="s">
        <v>847</v>
      </c>
      <c r="J415" s="1">
        <v>160003</v>
      </c>
      <c r="K415" s="1" t="s">
        <v>19</v>
      </c>
      <c r="N415" s="8"/>
      <c r="O415"/>
      <c r="P415"/>
    </row>
    <row r="416" spans="1:16" x14ac:dyDescent="0.3">
      <c r="A416" s="1" t="s">
        <v>659</v>
      </c>
      <c r="B416" s="1">
        <v>17</v>
      </c>
      <c r="D416" t="s">
        <v>660</v>
      </c>
      <c r="E416" s="1">
        <v>1991</v>
      </c>
      <c r="L416" s="1">
        <v>170006</v>
      </c>
      <c r="N416" s="8"/>
      <c r="O416"/>
      <c r="P416" s="1">
        <v>1</v>
      </c>
    </row>
    <row r="417" spans="1:16" x14ac:dyDescent="0.3">
      <c r="A417" s="1" t="s">
        <v>649</v>
      </c>
      <c r="B417" s="1">
        <v>17</v>
      </c>
      <c r="D417" t="s">
        <v>650</v>
      </c>
      <c r="E417" s="1">
        <v>1992</v>
      </c>
      <c r="L417" s="1">
        <v>170007</v>
      </c>
      <c r="N417" s="8"/>
      <c r="O417"/>
      <c r="P417" s="1">
        <v>1</v>
      </c>
    </row>
    <row r="418" spans="1:16" x14ac:dyDescent="0.3">
      <c r="A418" s="1" t="s">
        <v>637</v>
      </c>
      <c r="B418" s="1">
        <v>17</v>
      </c>
      <c r="D418" t="s">
        <v>633</v>
      </c>
      <c r="E418" s="1">
        <v>1983</v>
      </c>
      <c r="L418" s="1">
        <v>170012</v>
      </c>
      <c r="N418" s="8"/>
      <c r="O418"/>
      <c r="P418" s="1">
        <v>1</v>
      </c>
    </row>
    <row r="419" spans="1:16" x14ac:dyDescent="0.3">
      <c r="A419" s="1" t="s">
        <v>640</v>
      </c>
      <c r="B419" s="1">
        <v>17</v>
      </c>
      <c r="D419" t="s">
        <v>641</v>
      </c>
      <c r="E419" s="1">
        <v>1979</v>
      </c>
      <c r="L419" s="1">
        <v>170013</v>
      </c>
      <c r="N419" s="8"/>
      <c r="O419"/>
      <c r="P419" s="1">
        <v>1</v>
      </c>
    </row>
    <row r="420" spans="1:16" x14ac:dyDescent="0.3">
      <c r="A420" s="1" t="s">
        <v>655</v>
      </c>
      <c r="B420" s="1">
        <v>17</v>
      </c>
      <c r="D420" t="s">
        <v>656</v>
      </c>
      <c r="E420" s="1">
        <v>1983</v>
      </c>
      <c r="L420" s="1">
        <v>170027</v>
      </c>
      <c r="N420" s="8"/>
      <c r="O420"/>
      <c r="P420" s="1">
        <v>1</v>
      </c>
    </row>
    <row r="421" spans="1:16" x14ac:dyDescent="0.3">
      <c r="A421" s="1" t="s">
        <v>673</v>
      </c>
      <c r="B421" s="1">
        <v>17</v>
      </c>
      <c r="D421" t="s">
        <v>674</v>
      </c>
      <c r="E421" s="1" t="s">
        <v>58</v>
      </c>
      <c r="L421" s="1">
        <v>170028</v>
      </c>
      <c r="N421" s="8"/>
      <c r="O421"/>
      <c r="P421" s="1">
        <v>1</v>
      </c>
    </row>
    <row r="422" spans="1:16" x14ac:dyDescent="0.3">
      <c r="A422" s="1" t="s">
        <v>618</v>
      </c>
      <c r="B422" s="1">
        <v>17</v>
      </c>
      <c r="D422" t="s">
        <v>619</v>
      </c>
      <c r="E422" s="1">
        <v>1991</v>
      </c>
      <c r="L422" s="1">
        <v>170029</v>
      </c>
      <c r="N422" s="8"/>
      <c r="O422"/>
      <c r="P422" s="1">
        <v>1</v>
      </c>
    </row>
    <row r="423" spans="1:16" x14ac:dyDescent="0.3">
      <c r="A423" s="1" t="s">
        <v>622</v>
      </c>
      <c r="B423" s="1">
        <v>17</v>
      </c>
      <c r="D423" t="s">
        <v>623</v>
      </c>
      <c r="E423" s="1">
        <v>1983</v>
      </c>
      <c r="L423" s="1">
        <v>170032</v>
      </c>
      <c r="N423" s="8"/>
      <c r="O423"/>
      <c r="P423" s="1">
        <v>1</v>
      </c>
    </row>
    <row r="424" spans="1:16" x14ac:dyDescent="0.3">
      <c r="A424" s="1" t="s">
        <v>669</v>
      </c>
      <c r="B424" s="1">
        <v>17</v>
      </c>
      <c r="D424" t="s">
        <v>670</v>
      </c>
      <c r="E424" s="1">
        <v>1987</v>
      </c>
      <c r="L424" s="1">
        <v>170033</v>
      </c>
      <c r="N424" s="8"/>
      <c r="O424"/>
      <c r="P424" s="1">
        <v>1</v>
      </c>
    </row>
    <row r="425" spans="1:16" x14ac:dyDescent="0.3">
      <c r="A425" s="1" t="s">
        <v>625</v>
      </c>
      <c r="B425" s="1">
        <v>17</v>
      </c>
      <c r="D425" t="s">
        <v>626</v>
      </c>
      <c r="E425" s="1">
        <v>1990</v>
      </c>
      <c r="L425" s="1">
        <v>170034</v>
      </c>
      <c r="N425" s="8"/>
      <c r="O425"/>
      <c r="P425" s="1">
        <v>1</v>
      </c>
    </row>
    <row r="426" spans="1:16" x14ac:dyDescent="0.3">
      <c r="A426" s="1" t="s">
        <v>630</v>
      </c>
      <c r="B426" s="1">
        <v>17</v>
      </c>
      <c r="D426" t="s">
        <v>629</v>
      </c>
      <c r="E426" s="1">
        <v>1984</v>
      </c>
      <c r="L426" s="1">
        <v>170035</v>
      </c>
      <c r="N426" s="8"/>
      <c r="O426"/>
      <c r="P426" s="1">
        <v>1</v>
      </c>
    </row>
    <row r="427" spans="1:16" x14ac:dyDescent="0.3">
      <c r="A427" s="1" t="s">
        <v>663</v>
      </c>
      <c r="B427" s="1">
        <v>17</v>
      </c>
      <c r="D427" t="s">
        <v>664</v>
      </c>
      <c r="E427" s="1">
        <v>1993</v>
      </c>
      <c r="L427" s="1">
        <v>170036</v>
      </c>
      <c r="N427" s="8"/>
      <c r="O427"/>
      <c r="P427" s="1">
        <v>1</v>
      </c>
    </row>
    <row r="428" spans="1:16" x14ac:dyDescent="0.3">
      <c r="A428" s="1" t="s">
        <v>666</v>
      </c>
      <c r="B428" s="1">
        <v>17</v>
      </c>
      <c r="D428" t="s">
        <v>667</v>
      </c>
      <c r="E428" s="1">
        <v>1991</v>
      </c>
      <c r="L428" s="1">
        <v>170043</v>
      </c>
      <c r="N428" s="8"/>
      <c r="O428"/>
      <c r="P428" s="1">
        <v>1</v>
      </c>
    </row>
    <row r="429" spans="1:16" x14ac:dyDescent="0.3">
      <c r="A429" s="1" t="s">
        <v>645</v>
      </c>
      <c r="B429" s="1">
        <v>17</v>
      </c>
      <c r="D429" t="s">
        <v>646</v>
      </c>
      <c r="E429" s="1">
        <v>1987</v>
      </c>
      <c r="L429" s="1">
        <v>170048</v>
      </c>
      <c r="N429" s="8"/>
      <c r="O429"/>
      <c r="P429" s="1">
        <v>1</v>
      </c>
    </row>
    <row r="430" spans="1:16" x14ac:dyDescent="0.3">
      <c r="A430" s="1">
        <v>180014</v>
      </c>
      <c r="B430" s="1">
        <v>18</v>
      </c>
      <c r="C430" s="1" t="s">
        <v>51</v>
      </c>
      <c r="D430" t="s">
        <v>661</v>
      </c>
      <c r="E430" s="1">
        <v>2019</v>
      </c>
      <c r="J430" s="1">
        <v>170006</v>
      </c>
      <c r="K430" s="1" t="s">
        <v>659</v>
      </c>
      <c r="N430" s="8"/>
      <c r="O430"/>
      <c r="P430"/>
    </row>
    <row r="431" spans="1:16" x14ac:dyDescent="0.3">
      <c r="A431" s="1" t="s">
        <v>662</v>
      </c>
      <c r="B431" s="1">
        <v>18</v>
      </c>
      <c r="D431" t="s">
        <v>769</v>
      </c>
      <c r="E431" s="1">
        <v>2015</v>
      </c>
      <c r="J431" s="1">
        <v>170006</v>
      </c>
      <c r="K431" s="1" t="s">
        <v>659</v>
      </c>
      <c r="N431" s="8"/>
      <c r="O431"/>
      <c r="P431"/>
    </row>
    <row r="432" spans="1:16" x14ac:dyDescent="0.3">
      <c r="A432" s="1">
        <v>180010</v>
      </c>
      <c r="B432" s="1">
        <v>18</v>
      </c>
      <c r="C432" s="1" t="s">
        <v>51</v>
      </c>
      <c r="D432" t="s">
        <v>651</v>
      </c>
      <c r="E432" s="1">
        <v>2014</v>
      </c>
      <c r="J432" s="1">
        <v>170007</v>
      </c>
      <c r="K432" s="1" t="s">
        <v>649</v>
      </c>
      <c r="N432" s="8"/>
      <c r="O432"/>
      <c r="P432"/>
    </row>
    <row r="433" spans="1:16" x14ac:dyDescent="0.3">
      <c r="A433" s="1">
        <v>180011</v>
      </c>
      <c r="B433" s="1">
        <v>18</v>
      </c>
      <c r="C433" s="1" t="s">
        <v>51</v>
      </c>
      <c r="D433" t="s">
        <v>652</v>
      </c>
      <c r="E433" s="1">
        <v>2016</v>
      </c>
      <c r="J433" s="1">
        <v>170007</v>
      </c>
      <c r="K433" s="1" t="s">
        <v>649</v>
      </c>
      <c r="N433" s="8"/>
      <c r="O433"/>
      <c r="P433"/>
    </row>
    <row r="434" spans="1:16" x14ac:dyDescent="0.3">
      <c r="A434" s="1" t="s">
        <v>654</v>
      </c>
      <c r="B434" s="1">
        <v>18</v>
      </c>
      <c r="D434" t="s">
        <v>653</v>
      </c>
      <c r="E434" s="1">
        <v>2018</v>
      </c>
      <c r="J434" s="1">
        <v>170007</v>
      </c>
      <c r="K434" s="1" t="s">
        <v>649</v>
      </c>
      <c r="N434" s="8"/>
      <c r="O434"/>
      <c r="P434"/>
    </row>
    <row r="435" spans="1:16" x14ac:dyDescent="0.3">
      <c r="A435" s="1">
        <v>180006</v>
      </c>
      <c r="B435" s="1">
        <v>18</v>
      </c>
      <c r="C435" s="1" t="s">
        <v>51</v>
      </c>
      <c r="D435" t="s">
        <v>636</v>
      </c>
      <c r="E435" s="1">
        <v>2012</v>
      </c>
      <c r="J435" s="1">
        <v>170012</v>
      </c>
      <c r="K435" s="1" t="s">
        <v>637</v>
      </c>
      <c r="N435" s="8"/>
      <c r="O435"/>
      <c r="P435"/>
    </row>
    <row r="436" spans="1:16" x14ac:dyDescent="0.3">
      <c r="A436" s="1" t="s">
        <v>638</v>
      </c>
      <c r="B436" s="1">
        <v>18</v>
      </c>
      <c r="D436" t="s">
        <v>634</v>
      </c>
      <c r="E436" s="1">
        <v>2006</v>
      </c>
      <c r="J436" s="1">
        <v>170012</v>
      </c>
      <c r="K436" s="1" t="s">
        <v>637</v>
      </c>
      <c r="N436" s="8"/>
      <c r="O436"/>
      <c r="P436"/>
    </row>
    <row r="437" spans="1:16" x14ac:dyDescent="0.3">
      <c r="A437" s="1" t="s">
        <v>639</v>
      </c>
      <c r="B437" s="1">
        <v>18</v>
      </c>
      <c r="D437" t="s">
        <v>635</v>
      </c>
      <c r="E437" s="1">
        <v>2007</v>
      </c>
      <c r="J437" s="1">
        <v>170012</v>
      </c>
      <c r="K437" s="1" t="s">
        <v>637</v>
      </c>
      <c r="N437" s="8"/>
      <c r="O437"/>
      <c r="P437"/>
    </row>
    <row r="438" spans="1:16" x14ac:dyDescent="0.3">
      <c r="A438" s="1">
        <v>180007</v>
      </c>
      <c r="B438" s="1">
        <v>18</v>
      </c>
      <c r="C438" s="1" t="s">
        <v>51</v>
      </c>
      <c r="D438" t="s">
        <v>642</v>
      </c>
      <c r="E438" s="1">
        <v>2005</v>
      </c>
      <c r="J438" s="1">
        <v>170013</v>
      </c>
      <c r="K438" s="1" t="s">
        <v>640</v>
      </c>
      <c r="N438" s="8"/>
      <c r="O438"/>
      <c r="P438"/>
    </row>
    <row r="439" spans="1:16" x14ac:dyDescent="0.3">
      <c r="A439" s="1" t="s">
        <v>644</v>
      </c>
      <c r="B439" s="1">
        <v>18</v>
      </c>
      <c r="D439" t="s">
        <v>643</v>
      </c>
      <c r="E439" s="1">
        <v>2008</v>
      </c>
      <c r="J439" s="1">
        <v>170013</v>
      </c>
      <c r="K439" s="1" t="s">
        <v>640</v>
      </c>
      <c r="N439" s="8"/>
      <c r="O439"/>
      <c r="P439"/>
    </row>
    <row r="440" spans="1:16" x14ac:dyDescent="0.3">
      <c r="A440" s="1">
        <v>180012</v>
      </c>
      <c r="B440" s="1">
        <v>18</v>
      </c>
      <c r="C440" s="1" t="s">
        <v>51</v>
      </c>
      <c r="D440" t="s">
        <v>522</v>
      </c>
      <c r="E440" s="1">
        <v>2009</v>
      </c>
      <c r="J440" s="1">
        <v>170027</v>
      </c>
      <c r="K440" s="1" t="s">
        <v>655</v>
      </c>
      <c r="N440" s="8"/>
      <c r="O440"/>
      <c r="P440"/>
    </row>
    <row r="441" spans="1:16" x14ac:dyDescent="0.3">
      <c r="A441" s="1">
        <v>180013</v>
      </c>
      <c r="B441" s="1">
        <v>18</v>
      </c>
      <c r="C441" s="1" t="s">
        <v>51</v>
      </c>
      <c r="D441" t="s">
        <v>657</v>
      </c>
      <c r="E441" s="1">
        <v>2015</v>
      </c>
      <c r="J441" s="1">
        <v>170027</v>
      </c>
      <c r="K441" s="1" t="s">
        <v>655</v>
      </c>
      <c r="N441" s="8"/>
      <c r="O441"/>
      <c r="P441"/>
    </row>
    <row r="442" spans="1:16" x14ac:dyDescent="0.3">
      <c r="A442" s="1" t="s">
        <v>658</v>
      </c>
      <c r="B442" s="1">
        <v>18</v>
      </c>
      <c r="D442" t="s">
        <v>457</v>
      </c>
      <c r="E442" s="1">
        <v>2017</v>
      </c>
      <c r="J442" s="1">
        <v>170027</v>
      </c>
      <c r="K442" s="1" t="s">
        <v>655</v>
      </c>
      <c r="N442" s="8"/>
      <c r="O442"/>
      <c r="P442"/>
    </row>
    <row r="443" spans="1:16" x14ac:dyDescent="0.3">
      <c r="A443" s="1" t="s">
        <v>676</v>
      </c>
      <c r="B443" s="1">
        <v>18</v>
      </c>
      <c r="D443" t="s">
        <v>675</v>
      </c>
      <c r="E443" s="1">
        <v>2022</v>
      </c>
      <c r="J443" s="1">
        <v>170028</v>
      </c>
      <c r="K443" s="1" t="s">
        <v>673</v>
      </c>
      <c r="N443" s="8"/>
      <c r="O443"/>
      <c r="P443"/>
    </row>
    <row r="444" spans="1:16" x14ac:dyDescent="0.3">
      <c r="A444" s="1">
        <v>180001</v>
      </c>
      <c r="B444" s="1">
        <v>18</v>
      </c>
      <c r="C444" s="1" t="s">
        <v>51</v>
      </c>
      <c r="D444" t="s">
        <v>620</v>
      </c>
      <c r="E444" s="1">
        <v>2011</v>
      </c>
      <c r="J444" s="1">
        <v>170029</v>
      </c>
      <c r="K444" s="1" t="s">
        <v>618</v>
      </c>
      <c r="N444" s="8"/>
      <c r="O444"/>
      <c r="P444"/>
    </row>
    <row r="445" spans="1:16" x14ac:dyDescent="0.3">
      <c r="A445" s="1" t="s">
        <v>621</v>
      </c>
      <c r="B445" s="1">
        <v>18</v>
      </c>
      <c r="D445" t="s">
        <v>433</v>
      </c>
      <c r="E445" s="1">
        <v>2014</v>
      </c>
      <c r="J445" s="1">
        <v>170029</v>
      </c>
      <c r="K445" s="1" t="s">
        <v>618</v>
      </c>
      <c r="N445" s="8"/>
      <c r="O445"/>
      <c r="P445"/>
    </row>
    <row r="446" spans="1:16" x14ac:dyDescent="0.3">
      <c r="A446" s="1">
        <v>180002</v>
      </c>
      <c r="B446" s="1">
        <v>18</v>
      </c>
      <c r="C446" s="1" t="s">
        <v>51</v>
      </c>
      <c r="D446" t="s">
        <v>142</v>
      </c>
      <c r="E446" s="1">
        <v>2005</v>
      </c>
      <c r="J446" s="1">
        <v>170032</v>
      </c>
      <c r="K446" s="1" t="s">
        <v>622</v>
      </c>
      <c r="N446" s="8"/>
      <c r="O446"/>
      <c r="P446"/>
    </row>
    <row r="447" spans="1:16" x14ac:dyDescent="0.3">
      <c r="A447" s="1" t="s">
        <v>624</v>
      </c>
      <c r="B447" s="1">
        <v>18</v>
      </c>
      <c r="D447" t="s">
        <v>465</v>
      </c>
      <c r="E447" s="1">
        <v>2007</v>
      </c>
      <c r="J447" s="1">
        <v>170032</v>
      </c>
      <c r="K447" s="1" t="s">
        <v>622</v>
      </c>
      <c r="N447" s="8"/>
      <c r="O447"/>
      <c r="P447"/>
    </row>
    <row r="448" spans="1:16" x14ac:dyDescent="0.3">
      <c r="A448" s="1">
        <v>180018</v>
      </c>
      <c r="B448" s="1">
        <v>18</v>
      </c>
      <c r="C448" s="1" t="s">
        <v>51</v>
      </c>
      <c r="D448" t="s">
        <v>627</v>
      </c>
      <c r="E448" s="1">
        <v>2013</v>
      </c>
      <c r="J448" s="1">
        <v>170033</v>
      </c>
      <c r="K448" s="1" t="s">
        <v>669</v>
      </c>
      <c r="N448" s="8"/>
      <c r="O448"/>
      <c r="P448"/>
    </row>
    <row r="449" spans="1:16" x14ac:dyDescent="0.3">
      <c r="A449" s="1" t="s">
        <v>672</v>
      </c>
      <c r="B449" s="1">
        <v>18</v>
      </c>
      <c r="D449" t="s">
        <v>671</v>
      </c>
      <c r="E449" s="1">
        <v>2012</v>
      </c>
      <c r="J449" s="1">
        <v>170033</v>
      </c>
      <c r="K449" s="1" t="s">
        <v>669</v>
      </c>
      <c r="N449" s="8"/>
      <c r="O449"/>
      <c r="P449"/>
    </row>
    <row r="450" spans="1:16" x14ac:dyDescent="0.3">
      <c r="A450" s="1">
        <v>180003</v>
      </c>
      <c r="B450" s="1">
        <v>18</v>
      </c>
      <c r="C450" s="1" t="s">
        <v>51</v>
      </c>
      <c r="D450" t="s">
        <v>627</v>
      </c>
      <c r="E450" s="1">
        <v>2013</v>
      </c>
      <c r="J450" s="1">
        <v>170034</v>
      </c>
      <c r="K450" s="1" t="s">
        <v>625</v>
      </c>
      <c r="N450" s="8"/>
      <c r="O450"/>
      <c r="P450"/>
    </row>
    <row r="451" spans="1:16" x14ac:dyDescent="0.3">
      <c r="A451" s="1">
        <v>180004</v>
      </c>
      <c r="B451" s="1">
        <v>18</v>
      </c>
      <c r="C451" s="1" t="s">
        <v>51</v>
      </c>
      <c r="D451" t="s">
        <v>628</v>
      </c>
      <c r="E451" s="1">
        <v>2016</v>
      </c>
      <c r="J451" s="1">
        <v>170034</v>
      </c>
      <c r="K451" s="1" t="s">
        <v>625</v>
      </c>
      <c r="N451" s="8"/>
      <c r="O451"/>
      <c r="P451"/>
    </row>
    <row r="452" spans="1:16" x14ac:dyDescent="0.3">
      <c r="A452" s="1">
        <v>180005</v>
      </c>
      <c r="B452" s="1">
        <v>18</v>
      </c>
      <c r="C452" s="1" t="s">
        <v>51</v>
      </c>
      <c r="D452" t="s">
        <v>177</v>
      </c>
      <c r="E452" s="1">
        <v>2012</v>
      </c>
      <c r="J452" s="1">
        <v>170035</v>
      </c>
      <c r="K452" s="1" t="s">
        <v>630</v>
      </c>
      <c r="N452" s="8"/>
      <c r="O452"/>
      <c r="P452"/>
    </row>
    <row r="453" spans="1:16" x14ac:dyDescent="0.3">
      <c r="A453" s="1" t="s">
        <v>632</v>
      </c>
      <c r="B453" s="1">
        <v>18</v>
      </c>
      <c r="D453" t="s">
        <v>631</v>
      </c>
      <c r="E453" s="1">
        <v>2009</v>
      </c>
      <c r="J453" s="1">
        <v>170035</v>
      </c>
      <c r="K453" s="1" t="s">
        <v>630</v>
      </c>
      <c r="N453" s="8"/>
      <c r="O453"/>
      <c r="P453"/>
    </row>
    <row r="454" spans="1:16" x14ac:dyDescent="0.3">
      <c r="A454" s="1">
        <v>180015</v>
      </c>
      <c r="B454" s="1">
        <v>18</v>
      </c>
      <c r="C454" s="1" t="s">
        <v>51</v>
      </c>
      <c r="D454" t="s">
        <v>665</v>
      </c>
      <c r="E454" s="1">
        <v>2014</v>
      </c>
      <c r="J454" s="1">
        <v>170036</v>
      </c>
      <c r="K454" s="1" t="s">
        <v>663</v>
      </c>
      <c r="N454" s="8"/>
      <c r="O454"/>
      <c r="P454"/>
    </row>
    <row r="455" spans="1:16" x14ac:dyDescent="0.3">
      <c r="A455" s="1">
        <v>180019</v>
      </c>
      <c r="B455" s="1">
        <v>18</v>
      </c>
      <c r="C455" s="1" t="s">
        <v>51</v>
      </c>
      <c r="D455" t="s">
        <v>812</v>
      </c>
      <c r="E455" s="1">
        <v>1</v>
      </c>
      <c r="J455" s="1">
        <v>170036</v>
      </c>
      <c r="K455" s="1" t="s">
        <v>663</v>
      </c>
      <c r="P455" s="4"/>
    </row>
    <row r="456" spans="1:16" x14ac:dyDescent="0.3">
      <c r="A456" s="1">
        <v>180020</v>
      </c>
      <c r="B456" s="1">
        <v>18</v>
      </c>
      <c r="C456" s="1" t="s">
        <v>51</v>
      </c>
      <c r="D456" t="s">
        <v>813</v>
      </c>
      <c r="E456" s="1">
        <v>2</v>
      </c>
      <c r="J456" s="1">
        <v>170036</v>
      </c>
      <c r="K456" s="1" t="s">
        <v>663</v>
      </c>
      <c r="P456" s="4"/>
    </row>
    <row r="457" spans="1:16" x14ac:dyDescent="0.3">
      <c r="A457" s="1">
        <v>180016</v>
      </c>
      <c r="B457" s="1">
        <v>18</v>
      </c>
      <c r="C457" s="1" t="s">
        <v>51</v>
      </c>
      <c r="D457" t="s">
        <v>668</v>
      </c>
      <c r="E457" s="1">
        <v>2018</v>
      </c>
      <c r="J457" s="1">
        <v>170043</v>
      </c>
      <c r="K457" s="1" t="s">
        <v>666</v>
      </c>
      <c r="N457" s="8"/>
      <c r="O457"/>
      <c r="P457"/>
    </row>
    <row r="458" spans="1:16" x14ac:dyDescent="0.3">
      <c r="A458" s="1">
        <v>180017</v>
      </c>
      <c r="B458" s="1">
        <v>18</v>
      </c>
      <c r="C458" s="1" t="s">
        <v>51</v>
      </c>
      <c r="D458" t="s">
        <v>774</v>
      </c>
      <c r="E458" s="1">
        <v>2023</v>
      </c>
      <c r="J458" s="1">
        <v>170043</v>
      </c>
      <c r="K458" s="1" t="s">
        <v>666</v>
      </c>
      <c r="N458" s="8"/>
      <c r="O458"/>
      <c r="P458"/>
    </row>
    <row r="459" spans="1:16" x14ac:dyDescent="0.3">
      <c r="A459" s="1">
        <v>180008</v>
      </c>
      <c r="B459" s="1">
        <v>18</v>
      </c>
      <c r="C459" s="1" t="s">
        <v>51</v>
      </c>
      <c r="D459" t="s">
        <v>647</v>
      </c>
      <c r="E459" s="1">
        <v>2008</v>
      </c>
      <c r="J459" s="1">
        <v>170048</v>
      </c>
      <c r="K459" s="1" t="s">
        <v>645</v>
      </c>
      <c r="N459" s="8"/>
      <c r="O459"/>
      <c r="P459"/>
    </row>
    <row r="460" spans="1:16" x14ac:dyDescent="0.3">
      <c r="A460" s="1">
        <v>180009</v>
      </c>
      <c r="B460" s="1">
        <v>18</v>
      </c>
      <c r="C460" s="1" t="s">
        <v>51</v>
      </c>
      <c r="D460" t="s">
        <v>648</v>
      </c>
      <c r="E460" s="1">
        <v>2011</v>
      </c>
      <c r="J460" s="1">
        <v>170048</v>
      </c>
      <c r="K460" s="1" t="s">
        <v>645</v>
      </c>
      <c r="N460" s="8"/>
      <c r="O460"/>
      <c r="P460"/>
    </row>
  </sheetData>
  <autoFilter ref="A1:P460" xr:uid="{00000000-0001-0000-0000-000000000000}"/>
  <sortState xmlns:xlrd2="http://schemas.microsoft.com/office/spreadsheetml/2017/richdata2" ref="A2:O460">
    <sortCondition ref="B2:B460"/>
    <sortCondition ref="J2:J460"/>
    <sortCondition ref="K2:K460"/>
    <sortCondition ref="A2:A460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528-7D31-420A-978D-ADDD3FEF77D2}">
  <sheetPr filterMode="1"/>
  <dimension ref="A1:D202"/>
  <sheetViews>
    <sheetView workbookViewId="0">
      <selection activeCell="A107" sqref="A107"/>
    </sheetView>
  </sheetViews>
  <sheetFormatPr defaultRowHeight="14.4" x14ac:dyDescent="0.3"/>
  <cols>
    <col min="1" max="1" width="11.88671875" style="1" customWidth="1"/>
    <col min="2" max="2" width="6.33203125" style="1" customWidth="1"/>
    <col min="3" max="3" width="8.88671875" style="1"/>
  </cols>
  <sheetData>
    <row r="1" spans="1:4" x14ac:dyDescent="0.3">
      <c r="A1" s="2" t="s">
        <v>0</v>
      </c>
      <c r="B1" s="2" t="s">
        <v>50</v>
      </c>
      <c r="C1" s="2" t="s">
        <v>827</v>
      </c>
    </row>
    <row r="2" spans="1:4" hidden="1" x14ac:dyDescent="0.3">
      <c r="A2" s="1">
        <v>10001</v>
      </c>
      <c r="B2" s="3" t="s">
        <v>51</v>
      </c>
      <c r="C2" s="1">
        <f>COUNTIF(Sheet1!L:L,Sheet3!A2)</f>
        <v>1</v>
      </c>
    </row>
    <row r="3" spans="1:4" hidden="1" x14ac:dyDescent="0.3">
      <c r="A3" s="1">
        <v>20001</v>
      </c>
      <c r="B3" s="1" t="s">
        <v>51</v>
      </c>
      <c r="C3" s="1">
        <f>COUNTIF(Sheet1!L:L,Sheet3!A3)</f>
        <v>1</v>
      </c>
    </row>
    <row r="4" spans="1:4" hidden="1" x14ac:dyDescent="0.3">
      <c r="A4" s="1">
        <v>30001</v>
      </c>
      <c r="B4" s="1" t="s">
        <v>51</v>
      </c>
      <c r="C4" s="1">
        <f>COUNTIF(Sheet1!L:L,Sheet3!A4)</f>
        <v>1</v>
      </c>
    </row>
    <row r="5" spans="1:4" hidden="1" x14ac:dyDescent="0.3">
      <c r="A5" s="1">
        <v>40001</v>
      </c>
      <c r="B5" s="1" t="s">
        <v>51</v>
      </c>
      <c r="C5" s="1">
        <f>COUNTIF(Sheet1!L:L,Sheet3!A5)</f>
        <v>1</v>
      </c>
    </row>
    <row r="6" spans="1:4" hidden="1" x14ac:dyDescent="0.3">
      <c r="A6" s="1">
        <v>50001</v>
      </c>
      <c r="B6" s="1" t="s">
        <v>51</v>
      </c>
      <c r="C6" s="1">
        <f>COUNTIF(Sheet1!L:L,Sheet3!A6)</f>
        <v>1</v>
      </c>
    </row>
    <row r="7" spans="1:4" hidden="1" x14ac:dyDescent="0.3">
      <c r="A7" s="1">
        <v>50002</v>
      </c>
      <c r="B7" s="1" t="s">
        <v>51</v>
      </c>
      <c r="C7" s="1">
        <f>COUNTIF(Sheet1!L:L,Sheet3!A7)</f>
        <v>1</v>
      </c>
    </row>
    <row r="8" spans="1:4" hidden="1" x14ac:dyDescent="0.3">
      <c r="A8" s="1">
        <v>50003</v>
      </c>
      <c r="B8" s="1" t="s">
        <v>51</v>
      </c>
      <c r="C8" s="1">
        <f>COUNTIF(Sheet1!L:L,Sheet3!A8)</f>
        <v>1</v>
      </c>
    </row>
    <row r="9" spans="1:4" x14ac:dyDescent="0.3">
      <c r="A9" s="1">
        <v>50004</v>
      </c>
      <c r="B9" s="1" t="s">
        <v>51</v>
      </c>
      <c r="C9" s="1">
        <f>COUNTIF(Sheet1!L:L,Sheet3!A9)</f>
        <v>0</v>
      </c>
      <c r="D9" t="s">
        <v>785</v>
      </c>
    </row>
    <row r="10" spans="1:4" x14ac:dyDescent="0.3">
      <c r="A10" s="1">
        <v>60005</v>
      </c>
      <c r="B10" s="3" t="s">
        <v>51</v>
      </c>
      <c r="C10" s="1">
        <f>COUNTIF(Sheet1!L:L,Sheet3!A10)</f>
        <v>0</v>
      </c>
      <c r="D10" t="s">
        <v>752</v>
      </c>
    </row>
    <row r="11" spans="1:4" x14ac:dyDescent="0.3">
      <c r="A11" s="1">
        <v>60006</v>
      </c>
      <c r="B11" s="3" t="s">
        <v>51</v>
      </c>
      <c r="C11" s="1">
        <f>COUNTIF(Sheet1!L:L,Sheet3!A11)</f>
        <v>0</v>
      </c>
      <c r="D11" t="s">
        <v>753</v>
      </c>
    </row>
    <row r="12" spans="1:4" hidden="1" x14ac:dyDescent="0.3">
      <c r="A12" s="1">
        <v>60001</v>
      </c>
      <c r="B12" s="1" t="s">
        <v>51</v>
      </c>
      <c r="C12" s="1">
        <f>COUNTIF(Sheet1!L:L,Sheet3!A12)</f>
        <v>1</v>
      </c>
    </row>
    <row r="13" spans="1:4" hidden="1" x14ac:dyDescent="0.3">
      <c r="A13" s="1">
        <v>60002</v>
      </c>
      <c r="B13" s="1" t="s">
        <v>51</v>
      </c>
      <c r="C13" s="1">
        <f>COUNTIF(Sheet1!L:L,Sheet3!A13)</f>
        <v>1</v>
      </c>
    </row>
    <row r="14" spans="1:4" hidden="1" x14ac:dyDescent="0.3">
      <c r="A14" s="1">
        <v>60003</v>
      </c>
      <c r="B14" s="1" t="s">
        <v>51</v>
      </c>
      <c r="C14" s="1">
        <f>COUNTIF(Sheet1!L:L,Sheet3!A14)</f>
        <v>1</v>
      </c>
    </row>
    <row r="15" spans="1:4" hidden="1" x14ac:dyDescent="0.3">
      <c r="A15" s="1">
        <v>60004</v>
      </c>
      <c r="B15" s="1" t="s">
        <v>51</v>
      </c>
      <c r="C15" s="1">
        <f>COUNTIF(Sheet1!L:L,Sheet3!A15)</f>
        <v>1</v>
      </c>
    </row>
    <row r="16" spans="1:4" hidden="1" x14ac:dyDescent="0.3">
      <c r="A16" s="1">
        <v>70001</v>
      </c>
      <c r="B16" s="1" t="s">
        <v>51</v>
      </c>
      <c r="C16" s="1">
        <f>COUNTIF(Sheet1!L:L,Sheet3!A16)</f>
        <v>1</v>
      </c>
    </row>
    <row r="17" spans="1:4" hidden="1" x14ac:dyDescent="0.3">
      <c r="A17" s="1">
        <v>70002</v>
      </c>
      <c r="B17" s="1" t="s">
        <v>51</v>
      </c>
      <c r="C17" s="1">
        <f>COUNTIF(Sheet1!L:L,Sheet3!A17)</f>
        <v>1</v>
      </c>
    </row>
    <row r="18" spans="1:4" hidden="1" x14ac:dyDescent="0.3">
      <c r="A18" s="1">
        <v>70003</v>
      </c>
      <c r="B18" s="1" t="s">
        <v>51</v>
      </c>
      <c r="C18" s="1">
        <f>COUNTIF(Sheet1!L:L,Sheet3!A18)</f>
        <v>1</v>
      </c>
    </row>
    <row r="19" spans="1:4" hidden="1" x14ac:dyDescent="0.3">
      <c r="A19" s="1">
        <v>80002</v>
      </c>
      <c r="B19" s="1" t="s">
        <v>51</v>
      </c>
      <c r="C19" s="1">
        <f>COUNTIF(Sheet1!L:L,Sheet3!A19)</f>
        <v>1</v>
      </c>
    </row>
    <row r="20" spans="1:4" hidden="1" x14ac:dyDescent="0.3">
      <c r="A20" s="1">
        <v>80001</v>
      </c>
      <c r="B20" s="1" t="s">
        <v>51</v>
      </c>
      <c r="C20" s="1">
        <f>COUNTIF(Sheet1!L:L,Sheet3!A20)</f>
        <v>1</v>
      </c>
    </row>
    <row r="21" spans="1:4" hidden="1" x14ac:dyDescent="0.3">
      <c r="A21" s="1">
        <v>80003</v>
      </c>
      <c r="B21" s="1" t="s">
        <v>51</v>
      </c>
      <c r="C21" s="1">
        <f>COUNTIF(Sheet1!L:L,Sheet3!A21)</f>
        <v>1</v>
      </c>
    </row>
    <row r="22" spans="1:4" x14ac:dyDescent="0.3">
      <c r="A22" s="1">
        <v>80004</v>
      </c>
      <c r="B22" s="3" t="s">
        <v>51</v>
      </c>
      <c r="C22" s="1">
        <f>COUNTIF(Sheet1!L:L,Sheet3!A22)</f>
        <v>0</v>
      </c>
      <c r="D22" t="s">
        <v>832</v>
      </c>
    </row>
    <row r="23" spans="1:4" hidden="1" x14ac:dyDescent="0.3">
      <c r="A23" s="1">
        <v>90001</v>
      </c>
      <c r="B23" s="1" t="s">
        <v>51</v>
      </c>
      <c r="C23" s="1">
        <f>COUNTIF(Sheet1!L:L,Sheet3!A23)</f>
        <v>1</v>
      </c>
    </row>
    <row r="24" spans="1:4" x14ac:dyDescent="0.3">
      <c r="A24" s="1">
        <v>90002</v>
      </c>
      <c r="B24" s="3" t="s">
        <v>51</v>
      </c>
      <c r="C24" s="1">
        <f>COUNTIF(Sheet1!L:L,Sheet3!A24)</f>
        <v>0</v>
      </c>
      <c r="D24" t="s">
        <v>833</v>
      </c>
    </row>
    <row r="25" spans="1:4" x14ac:dyDescent="0.3">
      <c r="A25" s="1">
        <v>90003</v>
      </c>
      <c r="B25" s="3" t="s">
        <v>51</v>
      </c>
      <c r="C25" s="1">
        <f>COUNTIF(Sheet1!L:L,Sheet3!A25)</f>
        <v>0</v>
      </c>
      <c r="D25" t="s">
        <v>831</v>
      </c>
    </row>
    <row r="26" spans="1:4" hidden="1" x14ac:dyDescent="0.3">
      <c r="A26" s="1">
        <v>100001</v>
      </c>
      <c r="B26" s="1" t="s">
        <v>51</v>
      </c>
      <c r="C26" s="1">
        <f>COUNTIF(Sheet1!L:L,Sheet3!A26)</f>
        <v>1</v>
      </c>
    </row>
    <row r="27" spans="1:4" hidden="1" x14ac:dyDescent="0.3">
      <c r="A27" s="1">
        <v>100002</v>
      </c>
      <c r="B27" s="1" t="s">
        <v>51</v>
      </c>
      <c r="C27" s="1">
        <f>COUNTIF(Sheet1!L:L,Sheet3!A27)</f>
        <v>2</v>
      </c>
    </row>
    <row r="28" spans="1:4" hidden="1" x14ac:dyDescent="0.3">
      <c r="A28" s="1">
        <v>100003</v>
      </c>
      <c r="B28" s="1" t="s">
        <v>51</v>
      </c>
      <c r="C28" s="1">
        <f>COUNTIF(Sheet1!L:L,Sheet3!A28)</f>
        <v>1</v>
      </c>
    </row>
    <row r="29" spans="1:4" hidden="1" x14ac:dyDescent="0.3">
      <c r="A29" s="1">
        <v>110001</v>
      </c>
      <c r="B29" s="1" t="s">
        <v>51</v>
      </c>
      <c r="C29" s="1">
        <f>COUNTIF(Sheet1!L:L,Sheet3!A29)</f>
        <v>2</v>
      </c>
    </row>
    <row r="30" spans="1:4" hidden="1" x14ac:dyDescent="0.3">
      <c r="A30" s="1">
        <v>110002</v>
      </c>
      <c r="B30" s="1" t="s">
        <v>51</v>
      </c>
      <c r="C30" s="1">
        <f>COUNTIF(Sheet1!L:L,Sheet3!A30)</f>
        <v>1</v>
      </c>
    </row>
    <row r="31" spans="1:4" hidden="1" x14ac:dyDescent="0.3">
      <c r="A31" s="1">
        <v>110003</v>
      </c>
      <c r="B31" s="1" t="s">
        <v>51</v>
      </c>
      <c r="C31" s="1">
        <f>COUNTIF(Sheet1!L:L,Sheet3!A31)</f>
        <v>1</v>
      </c>
    </row>
    <row r="32" spans="1:4" hidden="1" x14ac:dyDescent="0.3">
      <c r="A32" s="1">
        <v>110004</v>
      </c>
      <c r="B32" s="1" t="s">
        <v>51</v>
      </c>
      <c r="C32" s="1">
        <f>COUNTIF(Sheet1!L:L,Sheet3!A32)</f>
        <v>1</v>
      </c>
    </row>
    <row r="33" spans="1:4" hidden="1" x14ac:dyDescent="0.3">
      <c r="A33" s="1">
        <v>110005</v>
      </c>
      <c r="B33" s="1" t="s">
        <v>51</v>
      </c>
      <c r="C33" s="1">
        <f>COUNTIF(Sheet1!L:L,Sheet3!A33)</f>
        <v>1</v>
      </c>
    </row>
    <row r="34" spans="1:4" hidden="1" x14ac:dyDescent="0.3">
      <c r="A34" s="1">
        <v>110006</v>
      </c>
      <c r="B34" s="3" t="s">
        <v>51</v>
      </c>
      <c r="C34" s="1">
        <f>COUNTIF(Sheet1!L:L,Sheet3!A34)</f>
        <v>2</v>
      </c>
    </row>
    <row r="35" spans="1:4" hidden="1" x14ac:dyDescent="0.3">
      <c r="A35" s="1">
        <v>110007</v>
      </c>
      <c r="B35" s="1" t="s">
        <v>51</v>
      </c>
      <c r="C35" s="1">
        <f>COUNTIF(Sheet1!L:L,Sheet3!A35)</f>
        <v>1</v>
      </c>
    </row>
    <row r="36" spans="1:4" hidden="1" x14ac:dyDescent="0.3">
      <c r="A36" s="1">
        <v>110008</v>
      </c>
      <c r="B36" s="1" t="s">
        <v>51</v>
      </c>
      <c r="C36" s="1">
        <f>COUNTIF(Sheet1!L:L,Sheet3!A36)</f>
        <v>2</v>
      </c>
    </row>
    <row r="37" spans="1:4" hidden="1" x14ac:dyDescent="0.3">
      <c r="A37" s="1">
        <v>120001</v>
      </c>
      <c r="B37" s="1" t="s">
        <v>51</v>
      </c>
      <c r="C37" s="1">
        <f>COUNTIF(Sheet1!L:L,Sheet3!A37)</f>
        <v>2</v>
      </c>
    </row>
    <row r="38" spans="1:4" hidden="1" x14ac:dyDescent="0.3">
      <c r="A38" s="1">
        <v>120002</v>
      </c>
      <c r="B38" s="1" t="s">
        <v>51</v>
      </c>
      <c r="C38" s="1">
        <f>COUNTIF(Sheet1!L:L,Sheet3!A38)</f>
        <v>1</v>
      </c>
    </row>
    <row r="39" spans="1:4" hidden="1" x14ac:dyDescent="0.3">
      <c r="A39" s="1">
        <v>120003</v>
      </c>
      <c r="B39" s="1" t="s">
        <v>51</v>
      </c>
      <c r="C39" s="1">
        <f>COUNTIF(Sheet1!L:L,Sheet3!A39)</f>
        <v>1</v>
      </c>
    </row>
    <row r="40" spans="1:4" hidden="1" x14ac:dyDescent="0.3">
      <c r="A40" s="1">
        <v>120004</v>
      </c>
      <c r="B40" s="1" t="s">
        <v>51</v>
      </c>
      <c r="C40" s="1">
        <f>COUNTIF(Sheet1!L:L,Sheet3!A40)</f>
        <v>1</v>
      </c>
    </row>
    <row r="41" spans="1:4" hidden="1" x14ac:dyDescent="0.3">
      <c r="A41" s="1">
        <v>120005</v>
      </c>
      <c r="B41" s="1" t="s">
        <v>51</v>
      </c>
      <c r="C41" s="1">
        <f>COUNTIF(Sheet1!L:L,Sheet3!A41)</f>
        <v>1</v>
      </c>
    </row>
    <row r="42" spans="1:4" hidden="1" x14ac:dyDescent="0.3">
      <c r="A42" s="1">
        <v>120006</v>
      </c>
      <c r="B42" s="1" t="s">
        <v>51</v>
      </c>
      <c r="C42" s="1">
        <f>COUNTIF(Sheet1!L:L,Sheet3!A42)</f>
        <v>1</v>
      </c>
    </row>
    <row r="43" spans="1:4" hidden="1" x14ac:dyDescent="0.3">
      <c r="A43" s="1">
        <v>130001</v>
      </c>
      <c r="B43" s="1" t="s">
        <v>51</v>
      </c>
      <c r="C43" s="1">
        <f>COUNTIF(Sheet1!L:L,Sheet3!A43)</f>
        <v>1</v>
      </c>
    </row>
    <row r="44" spans="1:4" hidden="1" x14ac:dyDescent="0.3">
      <c r="A44" s="1">
        <v>130002</v>
      </c>
      <c r="B44" s="1" t="s">
        <v>51</v>
      </c>
      <c r="C44" s="1">
        <f>COUNTIF(Sheet1!L:L,Sheet3!A44)</f>
        <v>2</v>
      </c>
    </row>
    <row r="45" spans="1:4" hidden="1" x14ac:dyDescent="0.3">
      <c r="A45" s="1">
        <v>130003</v>
      </c>
      <c r="B45" s="1" t="s">
        <v>51</v>
      </c>
      <c r="C45" s="1">
        <f>COUNTIF(Sheet1!L:L,Sheet3!A45)</f>
        <v>1</v>
      </c>
    </row>
    <row r="46" spans="1:4" hidden="1" x14ac:dyDescent="0.3">
      <c r="A46" s="1">
        <v>130004</v>
      </c>
      <c r="B46" s="1" t="s">
        <v>51</v>
      </c>
      <c r="C46" s="1">
        <f>COUNTIF(Sheet1!L:L,Sheet3!A46)</f>
        <v>2</v>
      </c>
    </row>
    <row r="47" spans="1:4" hidden="1" x14ac:dyDescent="0.3">
      <c r="A47" s="1">
        <v>130005</v>
      </c>
      <c r="B47" s="1" t="s">
        <v>51</v>
      </c>
      <c r="C47" s="1">
        <f>COUNTIF(Sheet1!L:L,Sheet3!A47)</f>
        <v>1</v>
      </c>
    </row>
    <row r="48" spans="1:4" x14ac:dyDescent="0.3">
      <c r="A48" s="1">
        <v>130006</v>
      </c>
      <c r="B48" s="1" t="s">
        <v>51</v>
      </c>
      <c r="C48" s="1">
        <f>COUNTIF(Sheet1!L:L,Sheet3!A48)</f>
        <v>0</v>
      </c>
      <c r="D48" t="s">
        <v>201</v>
      </c>
    </row>
    <row r="49" spans="1:3" hidden="1" x14ac:dyDescent="0.3">
      <c r="A49" s="1">
        <v>130007</v>
      </c>
      <c r="B49" s="1" t="s">
        <v>51</v>
      </c>
      <c r="C49" s="1">
        <f>COUNTIF(Sheet1!L:L,Sheet3!A49)</f>
        <v>1</v>
      </c>
    </row>
    <row r="50" spans="1:3" hidden="1" x14ac:dyDescent="0.3">
      <c r="A50" s="1">
        <v>130008</v>
      </c>
      <c r="B50" s="1" t="s">
        <v>51</v>
      </c>
      <c r="C50" s="1">
        <f>COUNTIF(Sheet1!L:L,Sheet3!A50)</f>
        <v>1</v>
      </c>
    </row>
    <row r="51" spans="1:3" hidden="1" x14ac:dyDescent="0.3">
      <c r="A51" s="1">
        <v>130009</v>
      </c>
      <c r="B51" s="1" t="s">
        <v>51</v>
      </c>
      <c r="C51" s="1">
        <f>COUNTIF(Sheet1!L:L,Sheet3!A51)</f>
        <v>1</v>
      </c>
    </row>
    <row r="52" spans="1:3" hidden="1" x14ac:dyDescent="0.3">
      <c r="A52" s="1">
        <v>130010</v>
      </c>
      <c r="B52" s="1" t="s">
        <v>51</v>
      </c>
      <c r="C52" s="1">
        <f>COUNTIF(Sheet1!L:L,Sheet3!A52)</f>
        <v>2</v>
      </c>
    </row>
    <row r="53" spans="1:3" hidden="1" x14ac:dyDescent="0.3">
      <c r="A53" s="1">
        <v>140001</v>
      </c>
      <c r="B53" s="1" t="s">
        <v>51</v>
      </c>
      <c r="C53" s="1">
        <f>COUNTIF(Sheet1!L:L,Sheet3!A53)</f>
        <v>2</v>
      </c>
    </row>
    <row r="54" spans="1:3" hidden="1" x14ac:dyDescent="0.3">
      <c r="A54" s="1">
        <v>140002</v>
      </c>
      <c r="B54" s="1" t="s">
        <v>51</v>
      </c>
      <c r="C54" s="1">
        <f>COUNTIF(Sheet1!L:L,Sheet3!A54)</f>
        <v>1</v>
      </c>
    </row>
    <row r="55" spans="1:3" hidden="1" x14ac:dyDescent="0.3">
      <c r="A55" s="1">
        <v>140003</v>
      </c>
      <c r="B55" s="1" t="s">
        <v>51</v>
      </c>
      <c r="C55" s="1">
        <f>COUNTIF(Sheet1!L:L,Sheet3!A55)</f>
        <v>1</v>
      </c>
    </row>
    <row r="56" spans="1:3" hidden="1" x14ac:dyDescent="0.3">
      <c r="A56" s="1">
        <v>140004</v>
      </c>
      <c r="B56" s="1" t="s">
        <v>51</v>
      </c>
      <c r="C56" s="1">
        <f>COUNTIF(Sheet1!L:L,Sheet3!A56)</f>
        <v>1</v>
      </c>
    </row>
    <row r="57" spans="1:3" hidden="1" x14ac:dyDescent="0.3">
      <c r="A57" s="1">
        <v>140005</v>
      </c>
      <c r="B57" s="1" t="s">
        <v>51</v>
      </c>
      <c r="C57" s="1">
        <f>COUNTIF(Sheet1!L:L,Sheet3!A57)</f>
        <v>1</v>
      </c>
    </row>
    <row r="58" spans="1:3" hidden="1" x14ac:dyDescent="0.3">
      <c r="A58" s="1">
        <v>140006</v>
      </c>
      <c r="B58" s="1" t="s">
        <v>51</v>
      </c>
      <c r="C58" s="1">
        <f>COUNTIF(Sheet1!L:L,Sheet3!A58)</f>
        <v>1</v>
      </c>
    </row>
    <row r="59" spans="1:3" hidden="1" x14ac:dyDescent="0.3">
      <c r="A59" s="1">
        <v>140007</v>
      </c>
      <c r="B59" s="1" t="s">
        <v>51</v>
      </c>
      <c r="C59" s="1">
        <f>COUNTIF(Sheet1!L:L,Sheet3!A59)</f>
        <v>1</v>
      </c>
    </row>
    <row r="60" spans="1:3" hidden="1" x14ac:dyDescent="0.3">
      <c r="A60" s="1">
        <v>140008</v>
      </c>
      <c r="B60" s="1" t="s">
        <v>51</v>
      </c>
      <c r="C60" s="1">
        <f>COUNTIF(Sheet1!L:L,Sheet3!A60)</f>
        <v>1</v>
      </c>
    </row>
    <row r="61" spans="1:3" hidden="1" x14ac:dyDescent="0.3">
      <c r="A61" s="1">
        <v>140014</v>
      </c>
      <c r="B61" s="1" t="s">
        <v>51</v>
      </c>
      <c r="C61" s="1">
        <f>COUNTIF(Sheet1!L:L,Sheet3!A61)</f>
        <v>1</v>
      </c>
    </row>
    <row r="62" spans="1:3" hidden="1" x14ac:dyDescent="0.3">
      <c r="A62" s="1">
        <v>140009</v>
      </c>
      <c r="B62" s="1" t="s">
        <v>51</v>
      </c>
      <c r="C62" s="1">
        <f>COUNTIF(Sheet1!L:L,Sheet3!A62)</f>
        <v>1</v>
      </c>
    </row>
    <row r="63" spans="1:3" hidden="1" x14ac:dyDescent="0.3">
      <c r="A63" s="1">
        <v>140010</v>
      </c>
      <c r="B63" s="1" t="s">
        <v>51</v>
      </c>
      <c r="C63" s="1">
        <f>COUNTIF(Sheet1!L:L,Sheet3!A63)</f>
        <v>2</v>
      </c>
    </row>
    <row r="64" spans="1:3" hidden="1" x14ac:dyDescent="0.3">
      <c r="A64" s="1">
        <v>140011</v>
      </c>
      <c r="B64" s="1" t="s">
        <v>51</v>
      </c>
      <c r="C64" s="1">
        <f>COUNTIF(Sheet1!L:L,Sheet3!A64)</f>
        <v>1</v>
      </c>
    </row>
    <row r="65" spans="1:4" hidden="1" x14ac:dyDescent="0.3">
      <c r="A65" s="1">
        <v>140012</v>
      </c>
      <c r="B65" s="1" t="s">
        <v>51</v>
      </c>
      <c r="C65" s="1">
        <f>COUNTIF(Sheet1!L:L,Sheet3!A65)</f>
        <v>1</v>
      </c>
    </row>
    <row r="66" spans="1:4" x14ac:dyDescent="0.3">
      <c r="A66" s="1">
        <v>140013</v>
      </c>
      <c r="B66" s="1" t="s">
        <v>51</v>
      </c>
      <c r="C66" s="1">
        <f>COUNTIF(Sheet1!L:L,Sheet3!A66)</f>
        <v>0</v>
      </c>
      <c r="D66" t="s">
        <v>842</v>
      </c>
    </row>
    <row r="67" spans="1:4" hidden="1" x14ac:dyDescent="0.3">
      <c r="A67" s="1">
        <v>150001</v>
      </c>
      <c r="B67" s="1" t="s">
        <v>51</v>
      </c>
      <c r="C67" s="1">
        <f>COUNTIF(Sheet1!L:L,Sheet3!A67)</f>
        <v>1</v>
      </c>
    </row>
    <row r="68" spans="1:4" hidden="1" x14ac:dyDescent="0.3">
      <c r="A68" s="1">
        <v>150002</v>
      </c>
      <c r="B68" s="1" t="s">
        <v>51</v>
      </c>
      <c r="C68" s="1">
        <f>COUNTIF(Sheet1!L:L,Sheet3!A68)</f>
        <v>1</v>
      </c>
    </row>
    <row r="69" spans="1:4" hidden="1" x14ac:dyDescent="0.3">
      <c r="A69" s="1">
        <v>150003</v>
      </c>
      <c r="B69" s="1" t="s">
        <v>51</v>
      </c>
      <c r="C69" s="1">
        <f>COUNTIF(Sheet1!L:L,Sheet3!A69)</f>
        <v>1</v>
      </c>
    </row>
    <row r="70" spans="1:4" hidden="1" x14ac:dyDescent="0.3">
      <c r="A70" s="1">
        <v>150004</v>
      </c>
      <c r="B70" s="1" t="s">
        <v>51</v>
      </c>
      <c r="C70" s="1">
        <f>COUNTIF(Sheet1!L:L,Sheet3!A70)</f>
        <v>1</v>
      </c>
    </row>
    <row r="71" spans="1:4" hidden="1" x14ac:dyDescent="0.3">
      <c r="A71" s="1">
        <v>150005</v>
      </c>
      <c r="B71" s="1" t="s">
        <v>51</v>
      </c>
      <c r="C71" s="1">
        <f>COUNTIF(Sheet1!L:L,Sheet3!A71)</f>
        <v>1</v>
      </c>
    </row>
    <row r="72" spans="1:4" hidden="1" x14ac:dyDescent="0.3">
      <c r="A72" s="1">
        <v>150006</v>
      </c>
      <c r="B72" s="1" t="s">
        <v>51</v>
      </c>
      <c r="C72" s="1">
        <f>COUNTIF(Sheet1!L:L,Sheet3!A72)</f>
        <v>1</v>
      </c>
    </row>
    <row r="73" spans="1:4" hidden="1" x14ac:dyDescent="0.3">
      <c r="A73" s="1">
        <v>150007</v>
      </c>
      <c r="B73" s="1" t="s">
        <v>51</v>
      </c>
      <c r="C73" s="1">
        <f>COUNTIF(Sheet1!L:L,Sheet3!A73)</f>
        <v>1</v>
      </c>
    </row>
    <row r="74" spans="1:4" hidden="1" x14ac:dyDescent="0.3">
      <c r="A74" s="1">
        <v>150008</v>
      </c>
      <c r="B74" s="1" t="s">
        <v>51</v>
      </c>
      <c r="C74" s="1">
        <f>COUNTIF(Sheet1!L:L,Sheet3!A74)</f>
        <v>1</v>
      </c>
    </row>
    <row r="75" spans="1:4" hidden="1" x14ac:dyDescent="0.3">
      <c r="A75" s="1">
        <v>150009</v>
      </c>
      <c r="B75" s="1" t="s">
        <v>51</v>
      </c>
      <c r="C75" s="1">
        <f>COUNTIF(Sheet1!L:L,Sheet3!A75)</f>
        <v>2</v>
      </c>
    </row>
    <row r="76" spans="1:4" x14ac:dyDescent="0.3">
      <c r="A76" s="1">
        <v>150010</v>
      </c>
      <c r="B76" s="1" t="s">
        <v>51</v>
      </c>
      <c r="C76" s="1">
        <f>COUNTIF(Sheet1!L:L,Sheet3!A76)</f>
        <v>0</v>
      </c>
      <c r="D76" t="s">
        <v>843</v>
      </c>
    </row>
    <row r="77" spans="1:4" hidden="1" x14ac:dyDescent="0.3">
      <c r="A77" s="1">
        <v>150011</v>
      </c>
      <c r="B77" s="1" t="s">
        <v>51</v>
      </c>
      <c r="C77" s="1">
        <f>COUNTIF(Sheet1!L:L,Sheet3!A77)</f>
        <v>1</v>
      </c>
    </row>
    <row r="78" spans="1:4" hidden="1" x14ac:dyDescent="0.3">
      <c r="A78" s="1">
        <v>150012</v>
      </c>
      <c r="B78" s="1" t="s">
        <v>51</v>
      </c>
      <c r="C78" s="1">
        <f>COUNTIF(Sheet1!L:L,Sheet3!A78)</f>
        <v>1</v>
      </c>
    </row>
    <row r="79" spans="1:4" hidden="1" x14ac:dyDescent="0.3">
      <c r="A79" s="1">
        <v>150013</v>
      </c>
      <c r="B79" s="1" t="s">
        <v>51</v>
      </c>
      <c r="C79" s="1">
        <f>COUNTIF(Sheet1!L:L,Sheet3!A79)</f>
        <v>1</v>
      </c>
    </row>
    <row r="80" spans="1:4" x14ac:dyDescent="0.3">
      <c r="A80" s="1">
        <v>150014</v>
      </c>
      <c r="B80" s="1" t="s">
        <v>51</v>
      </c>
      <c r="C80" s="1">
        <f>COUNTIF(Sheet1!L:L,Sheet3!A80)</f>
        <v>0</v>
      </c>
      <c r="D80" t="s">
        <v>201</v>
      </c>
    </row>
    <row r="81" spans="1:4" hidden="1" x14ac:dyDescent="0.3">
      <c r="A81" s="1">
        <v>150015</v>
      </c>
      <c r="B81" s="1" t="s">
        <v>51</v>
      </c>
      <c r="C81" s="1">
        <f>COUNTIF(Sheet1!L:L,Sheet3!A81)</f>
        <v>1</v>
      </c>
    </row>
    <row r="82" spans="1:4" hidden="1" x14ac:dyDescent="0.3">
      <c r="A82" s="1">
        <v>150016</v>
      </c>
      <c r="B82" s="1" t="s">
        <v>51</v>
      </c>
      <c r="C82" s="1">
        <f>COUNTIF(Sheet1!L:L,Sheet3!A82)</f>
        <v>1</v>
      </c>
    </row>
    <row r="83" spans="1:4" hidden="1" x14ac:dyDescent="0.3">
      <c r="A83" s="1">
        <v>150017</v>
      </c>
      <c r="B83" s="1" t="s">
        <v>51</v>
      </c>
      <c r="C83" s="1">
        <f>COUNTIF(Sheet1!L:L,Sheet3!A83)</f>
        <v>1</v>
      </c>
    </row>
    <row r="84" spans="1:4" hidden="1" x14ac:dyDescent="0.3">
      <c r="A84" s="1">
        <v>150020</v>
      </c>
      <c r="B84" s="1" t="s">
        <v>51</v>
      </c>
      <c r="C84" s="1">
        <f>COUNTIF(Sheet1!L:L,Sheet3!A84)</f>
        <v>1</v>
      </c>
    </row>
    <row r="85" spans="1:4" hidden="1" x14ac:dyDescent="0.3">
      <c r="A85" s="1">
        <v>150021</v>
      </c>
      <c r="B85" s="1" t="s">
        <v>51</v>
      </c>
      <c r="C85" s="1">
        <f>COUNTIF(Sheet1!L:L,Sheet3!A85)</f>
        <v>1</v>
      </c>
    </row>
    <row r="86" spans="1:4" hidden="1" x14ac:dyDescent="0.3">
      <c r="A86" s="1">
        <v>150022</v>
      </c>
      <c r="B86" s="1" t="s">
        <v>51</v>
      </c>
      <c r="C86" s="1">
        <f>COUNTIF(Sheet1!L:L,Sheet3!A86)</f>
        <v>1</v>
      </c>
    </row>
    <row r="87" spans="1:4" hidden="1" x14ac:dyDescent="0.3">
      <c r="A87" s="1">
        <v>150023</v>
      </c>
      <c r="B87" s="1" t="s">
        <v>51</v>
      </c>
      <c r="C87" s="1">
        <f>COUNTIF(Sheet1!L:L,Sheet3!A87)</f>
        <v>1</v>
      </c>
    </row>
    <row r="88" spans="1:4" hidden="1" x14ac:dyDescent="0.3">
      <c r="A88" s="1">
        <v>150024</v>
      </c>
      <c r="B88" s="1" t="s">
        <v>51</v>
      </c>
      <c r="C88" s="1">
        <f>COUNTIF(Sheet1!L:L,Sheet3!A88)</f>
        <v>1</v>
      </c>
    </row>
    <row r="89" spans="1:4" x14ac:dyDescent="0.3">
      <c r="A89" s="1">
        <v>150025</v>
      </c>
      <c r="B89" s="1" t="s">
        <v>51</v>
      </c>
      <c r="C89" s="1">
        <f>COUNTIF(Sheet1!L:L,Sheet3!A89)</f>
        <v>0</v>
      </c>
      <c r="D89" t="s">
        <v>843</v>
      </c>
    </row>
    <row r="90" spans="1:4" x14ac:dyDescent="0.3">
      <c r="A90" s="1">
        <v>150018</v>
      </c>
      <c r="B90" s="1" t="s">
        <v>51</v>
      </c>
      <c r="C90" s="1">
        <f>COUNTIF(Sheet1!L:L,Sheet3!A90)</f>
        <v>0</v>
      </c>
      <c r="D90" t="s">
        <v>201</v>
      </c>
    </row>
    <row r="91" spans="1:4" hidden="1" x14ac:dyDescent="0.3">
      <c r="A91" s="1">
        <v>150019</v>
      </c>
      <c r="B91" s="1" t="s">
        <v>51</v>
      </c>
      <c r="C91" s="1">
        <f>COUNTIF(Sheet1!L:L,Sheet3!A91)</f>
        <v>1</v>
      </c>
    </row>
    <row r="92" spans="1:4" hidden="1" x14ac:dyDescent="0.3">
      <c r="A92" s="1">
        <v>160001</v>
      </c>
      <c r="B92" s="1" t="s">
        <v>51</v>
      </c>
      <c r="C92" s="1">
        <f>COUNTIF(Sheet1!L:L,Sheet3!A92)</f>
        <v>1</v>
      </c>
    </row>
    <row r="93" spans="1:4" hidden="1" x14ac:dyDescent="0.3">
      <c r="A93" s="1">
        <v>160002</v>
      </c>
      <c r="B93" s="1" t="s">
        <v>51</v>
      </c>
      <c r="C93" s="1">
        <f>COUNTIF(Sheet1!L:L,Sheet3!A93)</f>
        <v>1</v>
      </c>
    </row>
    <row r="94" spans="1:4" hidden="1" x14ac:dyDescent="0.3">
      <c r="A94" s="1">
        <v>160003</v>
      </c>
      <c r="B94" s="1" t="s">
        <v>51</v>
      </c>
      <c r="C94" s="1">
        <f>COUNTIF(Sheet1!L:L,Sheet3!A94)</f>
        <v>1</v>
      </c>
    </row>
    <row r="95" spans="1:4" hidden="1" x14ac:dyDescent="0.3">
      <c r="A95" s="1">
        <v>160004</v>
      </c>
      <c r="B95" s="1" t="s">
        <v>51</v>
      </c>
      <c r="C95" s="1">
        <f>COUNTIF(Sheet1!L:L,Sheet3!A95)</f>
        <v>1</v>
      </c>
    </row>
    <row r="96" spans="1:4" hidden="1" x14ac:dyDescent="0.3">
      <c r="A96" s="1">
        <v>160005</v>
      </c>
      <c r="B96" s="1" t="s">
        <v>51</v>
      </c>
      <c r="C96" s="1">
        <f>COUNTIF(Sheet1!L:L,Sheet3!A96)</f>
        <v>1</v>
      </c>
    </row>
    <row r="97" spans="1:4" hidden="1" x14ac:dyDescent="0.3">
      <c r="A97" s="1">
        <v>160006</v>
      </c>
      <c r="B97" s="1" t="s">
        <v>51</v>
      </c>
      <c r="C97" s="1">
        <f>COUNTIF(Sheet1!L:L,Sheet3!A97)</f>
        <v>1</v>
      </c>
    </row>
    <row r="98" spans="1:4" hidden="1" x14ac:dyDescent="0.3">
      <c r="A98" s="1">
        <v>160007</v>
      </c>
      <c r="B98" s="1" t="s">
        <v>51</v>
      </c>
      <c r="C98" s="1">
        <f>COUNTIF(Sheet1!L:L,Sheet3!A98)</f>
        <v>1</v>
      </c>
    </row>
    <row r="99" spans="1:4" hidden="1" x14ac:dyDescent="0.3">
      <c r="A99" s="1">
        <v>160008</v>
      </c>
      <c r="B99" s="1" t="s">
        <v>51</v>
      </c>
      <c r="C99" s="1">
        <f>COUNTIF(Sheet1!L:L,Sheet3!A99)</f>
        <v>1</v>
      </c>
    </row>
    <row r="100" spans="1:4" x14ac:dyDescent="0.3">
      <c r="A100" s="1">
        <v>160009</v>
      </c>
      <c r="B100" s="1" t="s">
        <v>51</v>
      </c>
      <c r="C100" s="1">
        <f>COUNTIF(Sheet1!L:L,Sheet3!A100)</f>
        <v>0</v>
      </c>
      <c r="D100" t="s">
        <v>201</v>
      </c>
    </row>
    <row r="101" spans="1:4" hidden="1" x14ac:dyDescent="0.3">
      <c r="A101" s="1">
        <v>160010</v>
      </c>
      <c r="B101" s="1" t="s">
        <v>51</v>
      </c>
      <c r="C101" s="1">
        <f>COUNTIF(Sheet1!L:L,Sheet3!A101)</f>
        <v>1</v>
      </c>
    </row>
    <row r="102" spans="1:4" hidden="1" x14ac:dyDescent="0.3">
      <c r="A102" s="1">
        <v>160011</v>
      </c>
      <c r="B102" s="1" t="s">
        <v>51</v>
      </c>
      <c r="C102" s="1">
        <f>COUNTIF(Sheet1!L:L,Sheet3!A102)</f>
        <v>2</v>
      </c>
    </row>
    <row r="103" spans="1:4" x14ac:dyDescent="0.3">
      <c r="A103" s="1">
        <v>160040</v>
      </c>
      <c r="B103" s="1" t="s">
        <v>51</v>
      </c>
      <c r="C103" s="1">
        <f>COUNTIF(Sheet1!L:L,Sheet3!A103)</f>
        <v>0</v>
      </c>
      <c r="D103" t="s">
        <v>201</v>
      </c>
    </row>
    <row r="104" spans="1:4" hidden="1" x14ac:dyDescent="0.3">
      <c r="A104" s="1">
        <v>160012</v>
      </c>
      <c r="B104" s="1" t="s">
        <v>51</v>
      </c>
      <c r="C104" s="1">
        <f>COUNTIF(Sheet1!L:L,Sheet3!A104)</f>
        <v>0</v>
      </c>
    </row>
    <row r="105" spans="1:4" x14ac:dyDescent="0.3">
      <c r="A105" s="1">
        <v>160013</v>
      </c>
      <c r="B105" s="1" t="s">
        <v>51</v>
      </c>
      <c r="C105" s="1">
        <f>COUNTIF(Sheet1!L:L,Sheet3!A105)</f>
        <v>1</v>
      </c>
    </row>
    <row r="106" spans="1:4" x14ac:dyDescent="0.3">
      <c r="A106" s="1">
        <v>160014</v>
      </c>
      <c r="B106" s="1" t="s">
        <v>51</v>
      </c>
      <c r="C106" s="1">
        <f>COUNTIF(Sheet1!L:L,Sheet3!A106)</f>
        <v>0</v>
      </c>
    </row>
    <row r="107" spans="1:4" x14ac:dyDescent="0.3">
      <c r="A107" s="1">
        <v>160043</v>
      </c>
      <c r="B107" s="1" t="s">
        <v>51</v>
      </c>
      <c r="C107" s="1">
        <f>COUNTIF(Sheet1!L:L,Sheet3!A107)</f>
        <v>0</v>
      </c>
    </row>
    <row r="108" spans="1:4" hidden="1" x14ac:dyDescent="0.3">
      <c r="A108" s="1">
        <v>160015</v>
      </c>
      <c r="B108" s="1" t="s">
        <v>51</v>
      </c>
      <c r="C108" s="1">
        <f>COUNTIF(Sheet1!L:L,Sheet3!A108)</f>
        <v>1</v>
      </c>
    </row>
    <row r="109" spans="1:4" hidden="1" x14ac:dyDescent="0.3">
      <c r="A109" s="1">
        <v>160016</v>
      </c>
      <c r="B109" s="1" t="s">
        <v>51</v>
      </c>
      <c r="C109" s="1">
        <f>COUNTIF(Sheet1!L:L,Sheet3!A109)</f>
        <v>1</v>
      </c>
    </row>
    <row r="110" spans="1:4" hidden="1" x14ac:dyDescent="0.3">
      <c r="A110" s="1">
        <v>160017</v>
      </c>
      <c r="B110" s="1" t="s">
        <v>51</v>
      </c>
      <c r="C110" s="1">
        <f>COUNTIF(Sheet1!L:L,Sheet3!A110)</f>
        <v>1</v>
      </c>
    </row>
    <row r="111" spans="1:4" x14ac:dyDescent="0.3">
      <c r="A111" s="1">
        <v>160041</v>
      </c>
      <c r="B111" s="1" t="s">
        <v>51</v>
      </c>
      <c r="C111" s="1">
        <f>COUNTIF(Sheet1!L:L,Sheet3!A111)</f>
        <v>0</v>
      </c>
    </row>
    <row r="112" spans="1:4" hidden="1" x14ac:dyDescent="0.3">
      <c r="A112" s="1">
        <v>160018</v>
      </c>
      <c r="B112" s="1" t="s">
        <v>51</v>
      </c>
      <c r="C112" s="1">
        <f>COUNTIF(Sheet1!L:L,Sheet3!A112)</f>
        <v>1</v>
      </c>
    </row>
    <row r="113" spans="1:3" hidden="1" x14ac:dyDescent="0.3">
      <c r="A113" s="1">
        <v>160019</v>
      </c>
      <c r="B113" s="1" t="s">
        <v>51</v>
      </c>
      <c r="C113" s="1">
        <f>COUNTIF(Sheet1!L:L,Sheet3!A113)</f>
        <v>1</v>
      </c>
    </row>
    <row r="114" spans="1:3" hidden="1" x14ac:dyDescent="0.3">
      <c r="A114" s="1">
        <v>160020</v>
      </c>
      <c r="B114" s="1" t="s">
        <v>51</v>
      </c>
      <c r="C114" s="1">
        <f>COUNTIF(Sheet1!L:L,Sheet3!A114)</f>
        <v>1</v>
      </c>
    </row>
    <row r="115" spans="1:3" hidden="1" x14ac:dyDescent="0.3">
      <c r="A115" s="1">
        <v>160021</v>
      </c>
      <c r="B115" s="1" t="s">
        <v>51</v>
      </c>
      <c r="C115" s="1">
        <f>COUNTIF(Sheet1!L:L,Sheet3!A115)</f>
        <v>1</v>
      </c>
    </row>
    <row r="116" spans="1:3" hidden="1" x14ac:dyDescent="0.3">
      <c r="A116" s="1">
        <v>160022</v>
      </c>
      <c r="B116" s="1" t="s">
        <v>51</v>
      </c>
      <c r="C116" s="1">
        <f>COUNTIF(Sheet1!L:L,Sheet3!A116)</f>
        <v>1</v>
      </c>
    </row>
    <row r="117" spans="1:3" hidden="1" x14ac:dyDescent="0.3">
      <c r="A117" s="1">
        <v>160023</v>
      </c>
      <c r="B117" s="1" t="s">
        <v>51</v>
      </c>
      <c r="C117" s="1">
        <f>COUNTIF(Sheet1!L:L,Sheet3!A117)</f>
        <v>1</v>
      </c>
    </row>
    <row r="118" spans="1:3" hidden="1" x14ac:dyDescent="0.3">
      <c r="A118" s="1">
        <v>160024</v>
      </c>
      <c r="B118" s="1" t="s">
        <v>51</v>
      </c>
      <c r="C118" s="1">
        <f>COUNTIF(Sheet1!L:L,Sheet3!A118)</f>
        <v>1</v>
      </c>
    </row>
    <row r="119" spans="1:3" hidden="1" x14ac:dyDescent="0.3">
      <c r="A119" s="1">
        <v>160025</v>
      </c>
      <c r="B119" s="1" t="s">
        <v>51</v>
      </c>
      <c r="C119" s="1">
        <f>COUNTIF(Sheet1!L:L,Sheet3!A119)</f>
        <v>1</v>
      </c>
    </row>
    <row r="120" spans="1:3" hidden="1" x14ac:dyDescent="0.3">
      <c r="A120" s="1">
        <v>160026</v>
      </c>
      <c r="B120" s="1" t="s">
        <v>51</v>
      </c>
      <c r="C120" s="1">
        <f>COUNTIF(Sheet1!L:L,Sheet3!A120)</f>
        <v>1</v>
      </c>
    </row>
    <row r="121" spans="1:3" hidden="1" x14ac:dyDescent="0.3">
      <c r="A121" s="1">
        <v>160027</v>
      </c>
      <c r="B121" s="1" t="s">
        <v>51</v>
      </c>
      <c r="C121" s="1">
        <f>COUNTIF(Sheet1!L:L,Sheet3!A121)</f>
        <v>1</v>
      </c>
    </row>
    <row r="122" spans="1:3" hidden="1" x14ac:dyDescent="0.3">
      <c r="A122" s="1">
        <v>160028</v>
      </c>
      <c r="B122" s="1" t="s">
        <v>51</v>
      </c>
      <c r="C122" s="1">
        <f>COUNTIF(Sheet1!L:L,Sheet3!A122)</f>
        <v>1</v>
      </c>
    </row>
    <row r="123" spans="1:3" hidden="1" x14ac:dyDescent="0.3">
      <c r="A123" s="1">
        <v>160029</v>
      </c>
      <c r="B123" s="1" t="s">
        <v>51</v>
      </c>
      <c r="C123" s="1">
        <f>COUNTIF(Sheet1!L:L,Sheet3!A123)</f>
        <v>1</v>
      </c>
    </row>
    <row r="124" spans="1:3" hidden="1" x14ac:dyDescent="0.3">
      <c r="A124" s="1">
        <v>160030</v>
      </c>
      <c r="B124" s="1" t="s">
        <v>51</v>
      </c>
      <c r="C124" s="1">
        <f>COUNTIF(Sheet1!L:L,Sheet3!A124)</f>
        <v>1</v>
      </c>
    </row>
    <row r="125" spans="1:3" hidden="1" x14ac:dyDescent="0.3">
      <c r="A125" s="1">
        <v>160031</v>
      </c>
      <c r="B125" s="1" t="s">
        <v>51</v>
      </c>
      <c r="C125" s="1">
        <f>COUNTIF(Sheet1!L:L,Sheet3!A125)</f>
        <v>1</v>
      </c>
    </row>
    <row r="126" spans="1:3" hidden="1" x14ac:dyDescent="0.3">
      <c r="A126" s="1">
        <v>160032</v>
      </c>
      <c r="B126" s="1" t="s">
        <v>51</v>
      </c>
      <c r="C126" s="1">
        <f>COUNTIF(Sheet1!L:L,Sheet3!A126)</f>
        <v>1</v>
      </c>
    </row>
    <row r="127" spans="1:3" hidden="1" x14ac:dyDescent="0.3">
      <c r="A127" s="1">
        <v>160033</v>
      </c>
      <c r="B127" s="1" t="s">
        <v>51</v>
      </c>
      <c r="C127" s="1">
        <f>COUNTIF(Sheet1!L:L,Sheet3!A127)</f>
        <v>1</v>
      </c>
    </row>
    <row r="128" spans="1:3" hidden="1" x14ac:dyDescent="0.3">
      <c r="A128" s="1">
        <v>160042</v>
      </c>
      <c r="B128" s="1" t="s">
        <v>51</v>
      </c>
      <c r="C128" s="1">
        <f>COUNTIF(Sheet1!L:L,Sheet3!A128)</f>
        <v>1</v>
      </c>
    </row>
    <row r="129" spans="1:3" hidden="1" x14ac:dyDescent="0.3">
      <c r="A129" s="1">
        <v>160034</v>
      </c>
      <c r="B129" s="1" t="s">
        <v>51</v>
      </c>
      <c r="C129" s="1">
        <f>COUNTIF(Sheet1!L:L,Sheet3!A129)</f>
        <v>1</v>
      </c>
    </row>
    <row r="130" spans="1:3" hidden="1" x14ac:dyDescent="0.3">
      <c r="A130" s="1">
        <v>160035</v>
      </c>
      <c r="B130" s="1" t="s">
        <v>51</v>
      </c>
      <c r="C130" s="1">
        <f>COUNTIF(Sheet1!L:L,Sheet3!A130)</f>
        <v>1</v>
      </c>
    </row>
    <row r="131" spans="1:3" hidden="1" x14ac:dyDescent="0.3">
      <c r="A131" s="1">
        <v>160036</v>
      </c>
      <c r="B131" s="1" t="s">
        <v>51</v>
      </c>
      <c r="C131" s="1">
        <f>COUNTIF(Sheet1!L:L,Sheet3!A131)</f>
        <v>1</v>
      </c>
    </row>
    <row r="132" spans="1:3" hidden="1" x14ac:dyDescent="0.3">
      <c r="A132" s="1">
        <v>160037</v>
      </c>
      <c r="B132" s="1" t="s">
        <v>51</v>
      </c>
      <c r="C132" s="1">
        <f>COUNTIF(Sheet1!L:L,Sheet3!A132)</f>
        <v>1</v>
      </c>
    </row>
    <row r="133" spans="1:3" hidden="1" x14ac:dyDescent="0.3">
      <c r="A133" s="1">
        <v>160038</v>
      </c>
      <c r="B133" s="1" t="s">
        <v>51</v>
      </c>
      <c r="C133" s="1">
        <f>COUNTIF(Sheet1!L:L,Sheet3!A133)</f>
        <v>1</v>
      </c>
    </row>
    <row r="134" spans="1:3" hidden="1" x14ac:dyDescent="0.3">
      <c r="A134" s="1">
        <v>160039</v>
      </c>
      <c r="B134" s="1" t="s">
        <v>51</v>
      </c>
      <c r="C134" s="1">
        <f>COUNTIF(Sheet1!L:L,Sheet3!A134)</f>
        <v>1</v>
      </c>
    </row>
    <row r="135" spans="1:3" x14ac:dyDescent="0.3">
      <c r="A135" s="1">
        <v>170001</v>
      </c>
      <c r="B135" s="1" t="s">
        <v>51</v>
      </c>
      <c r="C135" s="1">
        <f>COUNTIF(Sheet1!L:L,Sheet3!A135)</f>
        <v>0</v>
      </c>
    </row>
    <row r="136" spans="1:3" x14ac:dyDescent="0.3">
      <c r="A136" s="1">
        <v>170002</v>
      </c>
      <c r="B136" s="1" t="s">
        <v>51</v>
      </c>
      <c r="C136" s="1">
        <f>COUNTIF(Sheet1!L:L,Sheet3!A136)</f>
        <v>0</v>
      </c>
    </row>
    <row r="137" spans="1:3" x14ac:dyDescent="0.3">
      <c r="A137" s="1">
        <v>170003</v>
      </c>
      <c r="B137" s="1" t="s">
        <v>51</v>
      </c>
      <c r="C137" s="1">
        <f>COUNTIF(Sheet1!L:L,Sheet3!A137)</f>
        <v>0</v>
      </c>
    </row>
    <row r="138" spans="1:3" x14ac:dyDescent="0.3">
      <c r="A138" s="1">
        <v>170004</v>
      </c>
      <c r="B138" s="1" t="s">
        <v>51</v>
      </c>
      <c r="C138" s="1">
        <f>COUNTIF(Sheet1!L:L,Sheet3!A138)</f>
        <v>0</v>
      </c>
    </row>
    <row r="139" spans="1:3" x14ac:dyDescent="0.3">
      <c r="A139" s="1">
        <v>170005</v>
      </c>
      <c r="B139" s="1" t="s">
        <v>51</v>
      </c>
      <c r="C139" s="1">
        <f>COUNTIF(Sheet1!L:L,Sheet3!A139)</f>
        <v>0</v>
      </c>
    </row>
    <row r="140" spans="1:3" x14ac:dyDescent="0.3">
      <c r="A140" s="1">
        <v>170049</v>
      </c>
      <c r="B140" s="1" t="s">
        <v>51</v>
      </c>
      <c r="C140" s="1">
        <f>COUNTIF(Sheet1!L:L,Sheet3!A140)</f>
        <v>0</v>
      </c>
    </row>
    <row r="141" spans="1:3" x14ac:dyDescent="0.3">
      <c r="A141" s="1">
        <v>170016</v>
      </c>
      <c r="B141" s="1" t="s">
        <v>51</v>
      </c>
      <c r="C141" s="1">
        <f>COUNTIF(Sheet1!L:L,Sheet3!A141)</f>
        <v>0</v>
      </c>
    </row>
    <row r="142" spans="1:3" x14ac:dyDescent="0.3">
      <c r="A142" s="1">
        <v>170017</v>
      </c>
      <c r="B142" s="1" t="s">
        <v>51</v>
      </c>
      <c r="C142" s="1">
        <f>COUNTIF(Sheet1!L:L,Sheet3!A142)</f>
        <v>0</v>
      </c>
    </row>
    <row r="143" spans="1:3" x14ac:dyDescent="0.3">
      <c r="A143" s="1">
        <v>170018</v>
      </c>
      <c r="B143" s="1" t="s">
        <v>51</v>
      </c>
      <c r="C143" s="1">
        <f>COUNTIF(Sheet1!L:L,Sheet3!A143)</f>
        <v>0</v>
      </c>
    </row>
    <row r="144" spans="1:3" x14ac:dyDescent="0.3">
      <c r="A144" s="1">
        <v>170019</v>
      </c>
      <c r="B144" s="1" t="s">
        <v>51</v>
      </c>
      <c r="C144" s="1">
        <f>COUNTIF(Sheet1!L:L,Sheet3!A144)</f>
        <v>0</v>
      </c>
    </row>
    <row r="145" spans="1:3" x14ac:dyDescent="0.3">
      <c r="A145" s="1">
        <v>170020</v>
      </c>
      <c r="B145" s="1" t="s">
        <v>51</v>
      </c>
      <c r="C145" s="1">
        <f>COUNTIF(Sheet1!L:L,Sheet3!A145)</f>
        <v>0</v>
      </c>
    </row>
    <row r="146" spans="1:3" x14ac:dyDescent="0.3">
      <c r="A146" s="1">
        <v>170021</v>
      </c>
      <c r="B146" s="1" t="s">
        <v>51</v>
      </c>
      <c r="C146" s="1">
        <f>COUNTIF(Sheet1!L:L,Sheet3!A146)</f>
        <v>0</v>
      </c>
    </row>
    <row r="147" spans="1:3" x14ac:dyDescent="0.3">
      <c r="A147" s="1">
        <v>170022</v>
      </c>
      <c r="B147" s="1" t="s">
        <v>51</v>
      </c>
      <c r="C147" s="1">
        <f>COUNTIF(Sheet1!L:L,Sheet3!A147)</f>
        <v>0</v>
      </c>
    </row>
    <row r="148" spans="1:3" x14ac:dyDescent="0.3">
      <c r="A148" s="1">
        <v>170023</v>
      </c>
      <c r="B148" s="1" t="s">
        <v>51</v>
      </c>
      <c r="C148" s="1">
        <f>COUNTIF(Sheet1!L:L,Sheet3!A148)</f>
        <v>0</v>
      </c>
    </row>
    <row r="149" spans="1:3" x14ac:dyDescent="0.3">
      <c r="A149" s="1">
        <v>170024</v>
      </c>
      <c r="B149" s="1" t="s">
        <v>51</v>
      </c>
      <c r="C149" s="1">
        <f>COUNTIF(Sheet1!L:L,Sheet3!A149)</f>
        <v>0</v>
      </c>
    </row>
    <row r="150" spans="1:3" hidden="1" x14ac:dyDescent="0.3">
      <c r="A150" s="1">
        <v>170006</v>
      </c>
      <c r="B150" s="1" t="s">
        <v>51</v>
      </c>
      <c r="C150" s="1">
        <f>COUNTIF(Sheet1!L:L,Sheet3!A150)</f>
        <v>1</v>
      </c>
    </row>
    <row r="151" spans="1:3" hidden="1" x14ac:dyDescent="0.3">
      <c r="A151" s="1">
        <v>170007</v>
      </c>
      <c r="B151" s="1" t="s">
        <v>51</v>
      </c>
      <c r="C151" s="1">
        <f>COUNTIF(Sheet1!L:L,Sheet3!A151)</f>
        <v>1</v>
      </c>
    </row>
    <row r="152" spans="1:3" x14ac:dyDescent="0.3">
      <c r="A152" s="1">
        <v>170025</v>
      </c>
      <c r="B152" s="1" t="s">
        <v>51</v>
      </c>
      <c r="C152" s="1">
        <f>COUNTIF(Sheet1!L:L,Sheet3!A152)</f>
        <v>0</v>
      </c>
    </row>
    <row r="153" spans="1:3" x14ac:dyDescent="0.3">
      <c r="A153" s="1">
        <v>170026</v>
      </c>
      <c r="B153" s="1" t="s">
        <v>51</v>
      </c>
      <c r="C153" s="1">
        <f>COUNTIF(Sheet1!L:L,Sheet3!A153)</f>
        <v>0</v>
      </c>
    </row>
    <row r="154" spans="1:3" hidden="1" x14ac:dyDescent="0.3">
      <c r="A154" s="1">
        <v>170027</v>
      </c>
      <c r="B154" s="1" t="s">
        <v>51</v>
      </c>
      <c r="C154" s="1">
        <f>COUNTIF(Sheet1!L:L,Sheet3!A154)</f>
        <v>1</v>
      </c>
    </row>
    <row r="155" spans="1:3" x14ac:dyDescent="0.3">
      <c r="A155" s="1">
        <v>170030</v>
      </c>
      <c r="B155" s="1" t="s">
        <v>51</v>
      </c>
      <c r="C155" s="1">
        <f>COUNTIF(Sheet1!L:L,Sheet3!A155)</f>
        <v>0</v>
      </c>
    </row>
    <row r="156" spans="1:3" x14ac:dyDescent="0.3">
      <c r="A156" s="1">
        <v>170031</v>
      </c>
      <c r="B156" s="1" t="s">
        <v>51</v>
      </c>
      <c r="C156" s="1">
        <f>COUNTIF(Sheet1!L:L,Sheet3!A156)</f>
        <v>0</v>
      </c>
    </row>
    <row r="157" spans="1:3" hidden="1" x14ac:dyDescent="0.3">
      <c r="A157" s="1">
        <v>170032</v>
      </c>
      <c r="B157" s="1" t="s">
        <v>51</v>
      </c>
      <c r="C157" s="1">
        <f>COUNTIF(Sheet1!L:L,Sheet3!A157)</f>
        <v>1</v>
      </c>
    </row>
    <row r="158" spans="1:3" hidden="1" x14ac:dyDescent="0.3">
      <c r="A158" s="1">
        <v>170033</v>
      </c>
      <c r="B158" s="1" t="s">
        <v>51</v>
      </c>
      <c r="C158" s="1">
        <f>COUNTIF(Sheet1!L:L,Sheet3!A158)</f>
        <v>1</v>
      </c>
    </row>
    <row r="159" spans="1:3" hidden="1" x14ac:dyDescent="0.3">
      <c r="A159" s="1">
        <v>170034</v>
      </c>
      <c r="B159" s="1" t="s">
        <v>51</v>
      </c>
      <c r="C159" s="1">
        <f>COUNTIF(Sheet1!L:L,Sheet3!A159)</f>
        <v>1</v>
      </c>
    </row>
    <row r="160" spans="1:3" hidden="1" x14ac:dyDescent="0.3">
      <c r="A160" s="1">
        <v>170035</v>
      </c>
      <c r="B160" s="1" t="s">
        <v>51</v>
      </c>
      <c r="C160" s="1">
        <f>COUNTIF(Sheet1!L:L,Sheet3!A160)</f>
        <v>1</v>
      </c>
    </row>
    <row r="161" spans="1:3" hidden="1" x14ac:dyDescent="0.3">
      <c r="A161" s="1">
        <v>170036</v>
      </c>
      <c r="B161" s="1" t="s">
        <v>51</v>
      </c>
      <c r="C161" s="1">
        <f>COUNTIF(Sheet1!L:L,Sheet3!A161)</f>
        <v>1</v>
      </c>
    </row>
    <row r="162" spans="1:3" x14ac:dyDescent="0.3">
      <c r="A162" s="1">
        <v>170037</v>
      </c>
      <c r="B162" s="1" t="s">
        <v>51</v>
      </c>
      <c r="C162" s="1">
        <f>COUNTIF(Sheet1!L:L,Sheet3!A162)</f>
        <v>0</v>
      </c>
    </row>
    <row r="163" spans="1:3" x14ac:dyDescent="0.3">
      <c r="A163" s="1">
        <v>170038</v>
      </c>
      <c r="B163" s="1" t="s">
        <v>51</v>
      </c>
      <c r="C163" s="1">
        <f>COUNTIF(Sheet1!L:L,Sheet3!A163)</f>
        <v>0</v>
      </c>
    </row>
    <row r="164" spans="1:3" x14ac:dyDescent="0.3">
      <c r="A164" s="1">
        <v>170010</v>
      </c>
      <c r="B164" s="1" t="s">
        <v>51</v>
      </c>
      <c r="C164" s="1">
        <f>COUNTIF(Sheet1!L:L,Sheet3!A164)</f>
        <v>0</v>
      </c>
    </row>
    <row r="165" spans="1:3" x14ac:dyDescent="0.3">
      <c r="A165" s="1">
        <v>170011</v>
      </c>
      <c r="B165" s="1" t="s">
        <v>51</v>
      </c>
      <c r="C165" s="1">
        <f>COUNTIF(Sheet1!L:L,Sheet3!A165)</f>
        <v>0</v>
      </c>
    </row>
    <row r="166" spans="1:3" hidden="1" x14ac:dyDescent="0.3">
      <c r="A166" s="1">
        <v>170012</v>
      </c>
      <c r="B166" s="1" t="s">
        <v>51</v>
      </c>
      <c r="C166" s="1">
        <f>COUNTIF(Sheet1!L:L,Sheet3!A166)</f>
        <v>1</v>
      </c>
    </row>
    <row r="167" spans="1:3" hidden="1" x14ac:dyDescent="0.3">
      <c r="A167" s="1">
        <v>170013</v>
      </c>
      <c r="B167" s="1" t="s">
        <v>51</v>
      </c>
      <c r="C167" s="1">
        <f>COUNTIF(Sheet1!L:L,Sheet3!A167)</f>
        <v>1</v>
      </c>
    </row>
    <row r="168" spans="1:3" x14ac:dyDescent="0.3">
      <c r="A168" s="1">
        <v>170039</v>
      </c>
      <c r="B168" s="1" t="s">
        <v>51</v>
      </c>
      <c r="C168" s="1">
        <f>COUNTIF(Sheet1!L:L,Sheet3!A168)</f>
        <v>0</v>
      </c>
    </row>
    <row r="169" spans="1:3" x14ac:dyDescent="0.3">
      <c r="A169" s="1">
        <v>170040</v>
      </c>
      <c r="B169" s="1" t="s">
        <v>51</v>
      </c>
      <c r="C169" s="1">
        <f>COUNTIF(Sheet1!L:L,Sheet3!A169)</f>
        <v>0</v>
      </c>
    </row>
    <row r="170" spans="1:3" x14ac:dyDescent="0.3">
      <c r="A170" s="1">
        <v>170041</v>
      </c>
      <c r="B170" s="1" t="s">
        <v>51</v>
      </c>
      <c r="C170" s="1">
        <f>COUNTIF(Sheet1!L:L,Sheet3!A170)</f>
        <v>0</v>
      </c>
    </row>
    <row r="171" spans="1:3" hidden="1" x14ac:dyDescent="0.3">
      <c r="A171" s="1">
        <v>170043</v>
      </c>
      <c r="B171" s="1" t="s">
        <v>51</v>
      </c>
      <c r="C171" s="1">
        <f>COUNTIF(Sheet1!L:L,Sheet3!A171)</f>
        <v>1</v>
      </c>
    </row>
    <row r="172" spans="1:3" x14ac:dyDescent="0.3">
      <c r="A172" s="1">
        <v>170044</v>
      </c>
      <c r="B172" s="1" t="s">
        <v>51</v>
      </c>
      <c r="C172" s="1">
        <f>COUNTIF(Sheet1!L:L,Sheet3!A172)</f>
        <v>0</v>
      </c>
    </row>
    <row r="173" spans="1:3" x14ac:dyDescent="0.3">
      <c r="A173" s="1">
        <v>170045</v>
      </c>
      <c r="B173" s="1" t="s">
        <v>51</v>
      </c>
      <c r="C173" s="1">
        <f>COUNTIF(Sheet1!L:L,Sheet3!A173)</f>
        <v>0</v>
      </c>
    </row>
    <row r="174" spans="1:3" x14ac:dyDescent="0.3">
      <c r="A174" s="1">
        <v>170046</v>
      </c>
      <c r="B174" s="1" t="s">
        <v>51</v>
      </c>
      <c r="C174" s="1">
        <f>COUNTIF(Sheet1!L:L,Sheet3!A174)</f>
        <v>0</v>
      </c>
    </row>
    <row r="175" spans="1:3" x14ac:dyDescent="0.3">
      <c r="A175" s="1">
        <v>170047</v>
      </c>
      <c r="B175" s="1" t="s">
        <v>51</v>
      </c>
      <c r="C175" s="1">
        <f>COUNTIF(Sheet1!L:L,Sheet3!A175)</f>
        <v>0</v>
      </c>
    </row>
    <row r="176" spans="1:3" hidden="1" x14ac:dyDescent="0.3">
      <c r="A176" s="1">
        <v>170048</v>
      </c>
      <c r="B176" s="1" t="s">
        <v>51</v>
      </c>
      <c r="C176" s="1">
        <f>COUNTIF(Sheet1!L:L,Sheet3!A176)</f>
        <v>1</v>
      </c>
    </row>
    <row r="177" spans="1:3" x14ac:dyDescent="0.3">
      <c r="A177" s="1">
        <v>170015</v>
      </c>
      <c r="B177" s="1" t="s">
        <v>51</v>
      </c>
      <c r="C177" s="1">
        <f>COUNTIF(Sheet1!L:L,Sheet3!A177)</f>
        <v>0</v>
      </c>
    </row>
    <row r="178" spans="1:3" x14ac:dyDescent="0.3">
      <c r="A178" s="1">
        <v>170042</v>
      </c>
      <c r="B178" s="1" t="s">
        <v>51</v>
      </c>
      <c r="C178" s="1">
        <f>COUNTIF(Sheet1!L:L,Sheet3!A178)</f>
        <v>0</v>
      </c>
    </row>
    <row r="179" spans="1:3" hidden="1" x14ac:dyDescent="0.3">
      <c r="A179" s="1">
        <v>170028</v>
      </c>
      <c r="B179" s="1" t="s">
        <v>51</v>
      </c>
      <c r="C179" s="1">
        <f>COUNTIF(Sheet1!L:L,Sheet3!A179)</f>
        <v>1</v>
      </c>
    </row>
    <row r="180" spans="1:3" hidden="1" x14ac:dyDescent="0.3">
      <c r="A180" s="1">
        <v>170029</v>
      </c>
      <c r="B180" s="1" t="s">
        <v>51</v>
      </c>
      <c r="C180" s="1">
        <f>COUNTIF(Sheet1!L:L,Sheet3!A180)</f>
        <v>1</v>
      </c>
    </row>
    <row r="181" spans="1:3" x14ac:dyDescent="0.3">
      <c r="A181" s="1">
        <v>180014</v>
      </c>
      <c r="B181" s="1" t="s">
        <v>51</v>
      </c>
      <c r="C181" s="1">
        <f>COUNTIF(Sheet1!L:L,Sheet3!A181)</f>
        <v>0</v>
      </c>
    </row>
    <row r="182" spans="1:3" x14ac:dyDescent="0.3">
      <c r="A182" s="1">
        <v>180010</v>
      </c>
      <c r="B182" s="1" t="s">
        <v>51</v>
      </c>
      <c r="C182" s="1">
        <f>COUNTIF(Sheet1!L:L,Sheet3!A182)</f>
        <v>0</v>
      </c>
    </row>
    <row r="183" spans="1:3" x14ac:dyDescent="0.3">
      <c r="A183" s="1">
        <v>180011</v>
      </c>
      <c r="B183" s="1" t="s">
        <v>51</v>
      </c>
      <c r="C183" s="1">
        <f>COUNTIF(Sheet1!L:L,Sheet3!A183)</f>
        <v>0</v>
      </c>
    </row>
    <row r="184" spans="1:3" x14ac:dyDescent="0.3">
      <c r="A184" s="1">
        <v>180006</v>
      </c>
      <c r="B184" s="1" t="s">
        <v>51</v>
      </c>
      <c r="C184" s="1">
        <f>COUNTIF(Sheet1!L:L,Sheet3!A184)</f>
        <v>0</v>
      </c>
    </row>
    <row r="185" spans="1:3" x14ac:dyDescent="0.3">
      <c r="A185" s="1">
        <v>180007</v>
      </c>
      <c r="B185" s="1" t="s">
        <v>51</v>
      </c>
      <c r="C185" s="1">
        <f>COUNTIF(Sheet1!L:L,Sheet3!A185)</f>
        <v>0</v>
      </c>
    </row>
    <row r="186" spans="1:3" x14ac:dyDescent="0.3">
      <c r="A186" s="1">
        <v>180012</v>
      </c>
      <c r="B186" s="1" t="s">
        <v>51</v>
      </c>
      <c r="C186" s="1">
        <f>COUNTIF(Sheet1!L:L,Sheet3!A186)</f>
        <v>0</v>
      </c>
    </row>
    <row r="187" spans="1:3" x14ac:dyDescent="0.3">
      <c r="A187" s="1">
        <v>180013</v>
      </c>
      <c r="B187" s="1" t="s">
        <v>51</v>
      </c>
      <c r="C187" s="1">
        <f>COUNTIF(Sheet1!L:L,Sheet3!A187)</f>
        <v>0</v>
      </c>
    </row>
    <row r="188" spans="1:3" x14ac:dyDescent="0.3">
      <c r="A188" s="1">
        <v>180001</v>
      </c>
      <c r="B188" s="1" t="s">
        <v>51</v>
      </c>
      <c r="C188" s="1">
        <f>COUNTIF(Sheet1!L:L,Sheet3!A188)</f>
        <v>0</v>
      </c>
    </row>
    <row r="189" spans="1:3" x14ac:dyDescent="0.3">
      <c r="A189" s="1">
        <v>180002</v>
      </c>
      <c r="B189" s="1" t="s">
        <v>51</v>
      </c>
      <c r="C189" s="1">
        <f>COUNTIF(Sheet1!L:L,Sheet3!A189)</f>
        <v>0</v>
      </c>
    </row>
    <row r="190" spans="1:3" x14ac:dyDescent="0.3">
      <c r="A190" s="1">
        <v>180018</v>
      </c>
      <c r="B190" s="1" t="s">
        <v>51</v>
      </c>
      <c r="C190" s="1">
        <f>COUNTIF(Sheet1!L:L,Sheet3!A190)</f>
        <v>0</v>
      </c>
    </row>
    <row r="191" spans="1:3" x14ac:dyDescent="0.3">
      <c r="A191" s="1">
        <v>180003</v>
      </c>
      <c r="B191" s="1" t="s">
        <v>51</v>
      </c>
      <c r="C191" s="1">
        <f>COUNTIF(Sheet1!L:L,Sheet3!A191)</f>
        <v>0</v>
      </c>
    </row>
    <row r="192" spans="1:3" x14ac:dyDescent="0.3">
      <c r="A192" s="1">
        <v>180004</v>
      </c>
      <c r="B192" s="1" t="s">
        <v>51</v>
      </c>
      <c r="C192" s="1">
        <f>COUNTIF(Sheet1!L:L,Sheet3!A192)</f>
        <v>0</v>
      </c>
    </row>
    <row r="193" spans="1:3" x14ac:dyDescent="0.3">
      <c r="A193" s="1">
        <v>180005</v>
      </c>
      <c r="B193" s="1" t="s">
        <v>51</v>
      </c>
      <c r="C193" s="1">
        <f>COUNTIF(Sheet1!L:L,Sheet3!A193)</f>
        <v>0</v>
      </c>
    </row>
    <row r="194" spans="1:3" x14ac:dyDescent="0.3">
      <c r="A194" s="1">
        <v>180015</v>
      </c>
      <c r="B194" s="1" t="s">
        <v>51</v>
      </c>
      <c r="C194" s="1">
        <f>COUNTIF(Sheet1!L:L,Sheet3!A194)</f>
        <v>0</v>
      </c>
    </row>
    <row r="195" spans="1:3" x14ac:dyDescent="0.3">
      <c r="A195" s="1">
        <v>180016</v>
      </c>
      <c r="B195" s="1" t="s">
        <v>51</v>
      </c>
      <c r="C195" s="1">
        <f>COUNTIF(Sheet1!L:L,Sheet3!A195)</f>
        <v>0</v>
      </c>
    </row>
    <row r="196" spans="1:3" x14ac:dyDescent="0.3">
      <c r="A196" s="1">
        <v>180017</v>
      </c>
      <c r="B196" s="1" t="s">
        <v>51</v>
      </c>
      <c r="C196" s="1">
        <f>COUNTIF(Sheet1!L:L,Sheet3!A196)</f>
        <v>0</v>
      </c>
    </row>
    <row r="197" spans="1:3" x14ac:dyDescent="0.3">
      <c r="A197" s="1">
        <v>180008</v>
      </c>
      <c r="B197" s="1" t="s">
        <v>51</v>
      </c>
      <c r="C197" s="1">
        <f>COUNTIF(Sheet1!L:L,Sheet3!A197)</f>
        <v>0</v>
      </c>
    </row>
    <row r="198" spans="1:3" x14ac:dyDescent="0.3">
      <c r="A198" s="1">
        <v>180009</v>
      </c>
      <c r="B198" s="1" t="s">
        <v>51</v>
      </c>
      <c r="C198" s="1">
        <f>COUNTIF(Sheet1!L:L,Sheet3!A198)</f>
        <v>0</v>
      </c>
    </row>
    <row r="199" spans="1:3" x14ac:dyDescent="0.3">
      <c r="A199" s="1">
        <v>150026</v>
      </c>
      <c r="B199" s="1" t="s">
        <v>51</v>
      </c>
      <c r="C199" s="1">
        <f>COUNTIF(Sheet1!L:L,Sheet3!A199)</f>
        <v>0</v>
      </c>
    </row>
    <row r="200" spans="1:3" x14ac:dyDescent="0.3">
      <c r="A200" s="1">
        <v>130011</v>
      </c>
      <c r="B200" s="1" t="s">
        <v>51</v>
      </c>
      <c r="C200" s="1">
        <f>COUNTIF(Sheet1!L:L,Sheet3!A200)</f>
        <v>0</v>
      </c>
    </row>
    <row r="201" spans="1:3" x14ac:dyDescent="0.3">
      <c r="A201" s="1">
        <v>180019</v>
      </c>
      <c r="B201" s="1" t="s">
        <v>51</v>
      </c>
      <c r="C201" s="1">
        <f>COUNTIF(Sheet1!L:L,Sheet3!A201)</f>
        <v>0</v>
      </c>
    </row>
    <row r="202" spans="1:3" x14ac:dyDescent="0.3">
      <c r="A202" s="1">
        <v>180020</v>
      </c>
      <c r="B202" s="1" t="s">
        <v>51</v>
      </c>
      <c r="C202" s="1">
        <f>COUNTIF(Sheet1!L:L,Sheet3!A202)</f>
        <v>0</v>
      </c>
    </row>
  </sheetData>
  <autoFilter ref="A1:C202" xr:uid="{1FB9D528-7D31-420A-978D-ADDD3FEF77D2}">
    <filterColumn colId="2">
      <filters>
        <filter val="0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DC7-259C-4824-A912-3D710F30CBB0}">
  <dimension ref="A1:C131"/>
  <sheetViews>
    <sheetView workbookViewId="0">
      <selection activeCell="A85" sqref="A85"/>
    </sheetView>
  </sheetViews>
  <sheetFormatPr defaultRowHeight="14.4" x14ac:dyDescent="0.3"/>
  <cols>
    <col min="1" max="1" width="11.88671875" style="1" customWidth="1"/>
    <col min="2" max="2" width="8.88671875" style="1"/>
  </cols>
  <sheetData>
    <row r="1" spans="1:3" x14ac:dyDescent="0.3">
      <c r="A1" s="2" t="s">
        <v>0</v>
      </c>
    </row>
    <row r="2" spans="1:3" x14ac:dyDescent="0.3">
      <c r="A2" s="3" t="s">
        <v>815</v>
      </c>
      <c r="B2" s="1">
        <f>COUNTIFS(Sheet1!K:K,A2,Sheet1!C:C,"x")</f>
        <v>1</v>
      </c>
      <c r="C2">
        <f>COUNTIFS(Sheet1!A:A,A2,Sheet1!D:D,"Chưa rõ")</f>
        <v>0</v>
      </c>
    </row>
    <row r="3" spans="1:3" x14ac:dyDescent="0.3">
      <c r="A3" s="1" t="s">
        <v>817</v>
      </c>
      <c r="B3" s="1">
        <f>COUNTIFS(Sheet1!K:K,A3,Sheet1!C:C,"x")</f>
        <v>1</v>
      </c>
      <c r="C3">
        <f>COUNTIFS(Sheet1!A:A,A3,Sheet1!D:D,"Chưa rõ")</f>
        <v>0</v>
      </c>
    </row>
    <row r="4" spans="1:3" x14ac:dyDescent="0.3">
      <c r="A4" s="1" t="s">
        <v>819</v>
      </c>
      <c r="B4" s="1">
        <f>COUNTIFS(Sheet1!K:K,A4,Sheet1!C:C,"x")</f>
        <v>1</v>
      </c>
      <c r="C4">
        <f>COUNTIFS(Sheet1!A:A,A4,Sheet1!D:D,"Chưa rõ")</f>
        <v>0</v>
      </c>
    </row>
    <row r="5" spans="1:3" x14ac:dyDescent="0.3">
      <c r="A5" s="1" t="s">
        <v>821</v>
      </c>
      <c r="B5" s="1">
        <f>COUNTIFS(Sheet1!K:K,A5,Sheet1!C:C,"x")</f>
        <v>4</v>
      </c>
      <c r="C5">
        <f>COUNTIFS(Sheet1!A:A,A5,Sheet1!D:D,"Chưa rõ")</f>
        <v>0</v>
      </c>
    </row>
    <row r="6" spans="1:3" x14ac:dyDescent="0.3">
      <c r="A6" s="1" t="s">
        <v>823</v>
      </c>
      <c r="B6" s="1">
        <f>COUNTIFS(Sheet1!K:K,A6,Sheet1!C:C,"x")</f>
        <v>1</v>
      </c>
      <c r="C6">
        <f>COUNTIFS(Sheet1!A:A,A6,Sheet1!D:D,"Chưa rõ")</f>
        <v>0</v>
      </c>
    </row>
    <row r="7" spans="1:3" x14ac:dyDescent="0.3">
      <c r="A7" s="1" t="s">
        <v>826</v>
      </c>
      <c r="B7" s="1">
        <f>COUNTIFS(Sheet1!K:K,A7,Sheet1!C:C,"x")</f>
        <v>1</v>
      </c>
      <c r="C7">
        <f>COUNTIFS(Sheet1!A:A,A7,Sheet1!D:D,"Chưa rõ")</f>
        <v>0</v>
      </c>
    </row>
    <row r="8" spans="1:3" x14ac:dyDescent="0.3">
      <c r="A8" s="1" t="s">
        <v>703</v>
      </c>
      <c r="B8" s="1">
        <f>COUNTIFS(Sheet1!K:K,A8,Sheet1!C:C,"x")</f>
        <v>4</v>
      </c>
      <c r="C8">
        <f>COUNTIFS(Sheet1!A:A,A8,Sheet1!D:D,"Chưa rõ")</f>
        <v>0</v>
      </c>
    </row>
    <row r="9" spans="1:3" x14ac:dyDescent="0.3">
      <c r="A9" s="1" t="s">
        <v>713</v>
      </c>
      <c r="B9" s="1">
        <f>COUNTIFS(Sheet1!K:K,A9,Sheet1!C:C,"x")</f>
        <v>1</v>
      </c>
      <c r="C9">
        <f>COUNTIFS(Sheet1!A:A,A9,Sheet1!D:D,"Chưa rõ")</f>
        <v>0</v>
      </c>
    </row>
    <row r="10" spans="1:3" x14ac:dyDescent="0.3">
      <c r="A10" s="1" t="s">
        <v>731</v>
      </c>
      <c r="B10" s="1">
        <f>COUNTIFS(Sheet1!K:K,A10,Sheet1!C:C,"x")</f>
        <v>2</v>
      </c>
      <c r="C10">
        <f>COUNTIFS(Sheet1!A:A,A10,Sheet1!D:D,"Chưa rõ")</f>
        <v>0</v>
      </c>
    </row>
    <row r="11" spans="1:3" x14ac:dyDescent="0.3">
      <c r="A11" s="1" t="s">
        <v>717</v>
      </c>
      <c r="B11" s="1">
        <f>COUNTIFS(Sheet1!K:K,A11,Sheet1!C:C,"x")</f>
        <v>1</v>
      </c>
      <c r="C11">
        <f>COUNTIFS(Sheet1!A:A,A11,Sheet1!D:D,"Chưa rõ")</f>
        <v>0</v>
      </c>
    </row>
    <row r="12" spans="1:3" x14ac:dyDescent="0.3">
      <c r="A12" s="1" t="s">
        <v>737</v>
      </c>
      <c r="B12" s="1">
        <f>COUNTIFS(Sheet1!K:K,A12,Sheet1!C:C,"x")</f>
        <v>2</v>
      </c>
      <c r="C12">
        <f>COUNTIFS(Sheet1!A:A,A12,Sheet1!D:D,"Chưa rõ")</f>
        <v>0</v>
      </c>
    </row>
    <row r="13" spans="1:3" x14ac:dyDescent="0.3">
      <c r="A13" s="1" t="s">
        <v>749</v>
      </c>
      <c r="B13" s="1">
        <f>COUNTIFS(Sheet1!K:K,A13,Sheet1!C:C,"x")</f>
        <v>1</v>
      </c>
      <c r="C13">
        <f>COUNTIFS(Sheet1!A:A,A13,Sheet1!D:D,"Chưa rõ")</f>
        <v>0</v>
      </c>
    </row>
    <row r="14" spans="1:3" x14ac:dyDescent="0.3">
      <c r="A14" s="1" t="s">
        <v>74</v>
      </c>
      <c r="B14" s="1">
        <f>COUNTIFS(Sheet1!K:K,A14,Sheet1!C:C,"x")</f>
        <v>1</v>
      </c>
      <c r="C14">
        <f>COUNTIFS(Sheet1!A:A,A14,Sheet1!D:D,"Chưa rõ")</f>
        <v>0</v>
      </c>
    </row>
    <row r="15" spans="1:3" x14ac:dyDescent="0.3">
      <c r="A15" s="1" t="s">
        <v>723</v>
      </c>
      <c r="B15" s="1">
        <f>COUNTIFS(Sheet1!K:K,A15,Sheet1!C:C,"x")</f>
        <v>1</v>
      </c>
      <c r="C15">
        <f>COUNTIFS(Sheet1!A:A,A15,Sheet1!D:D,"Chưa rõ")</f>
        <v>0</v>
      </c>
    </row>
    <row r="16" spans="1:3" x14ac:dyDescent="0.3">
      <c r="A16" s="1" t="s">
        <v>743</v>
      </c>
      <c r="B16" s="1">
        <f>COUNTIFS(Sheet1!K:K,A16,Sheet1!C:C,"x")</f>
        <v>1</v>
      </c>
      <c r="C16">
        <f>COUNTIFS(Sheet1!A:A,A16,Sheet1!D:D,"Chưa rõ")</f>
        <v>0</v>
      </c>
    </row>
    <row r="17" spans="1:3" x14ac:dyDescent="0.3">
      <c r="A17" s="1" t="s">
        <v>80</v>
      </c>
      <c r="B17" s="1">
        <f>COUNTIFS(Sheet1!K:K,A17,Sheet1!C:C,"x")</f>
        <v>3</v>
      </c>
      <c r="C17">
        <f>COUNTIFS(Sheet1!A:A,A17,Sheet1!D:D,"Chưa rõ")</f>
        <v>0</v>
      </c>
    </row>
    <row r="18" spans="1:3" x14ac:dyDescent="0.3">
      <c r="A18" s="1" t="s">
        <v>87</v>
      </c>
      <c r="B18" s="1">
        <f>COUNTIFS(Sheet1!K:K,A18,Sheet1!C:C,"x")</f>
        <v>3</v>
      </c>
      <c r="C18">
        <f>COUNTIFS(Sheet1!A:A,A18,Sheet1!D:D,"Chưa rõ")</f>
        <v>0</v>
      </c>
    </row>
    <row r="19" spans="1:3" x14ac:dyDescent="0.3">
      <c r="A19" s="1" t="s">
        <v>337</v>
      </c>
      <c r="B19" s="1">
        <f>COUNTIFS(Sheet1!K:K,A19,Sheet1!C:C,"x")</f>
        <v>1</v>
      </c>
      <c r="C19">
        <f>COUNTIFS(Sheet1!A:A,A19,Sheet1!D:D,"Chưa rõ")</f>
        <v>0</v>
      </c>
    </row>
    <row r="20" spans="1:3" x14ac:dyDescent="0.3">
      <c r="A20" s="1" t="s">
        <v>338</v>
      </c>
      <c r="B20" s="1">
        <f>COUNTIFS(Sheet1!K:K,A20,Sheet1!C:C,"x")</f>
        <v>3</v>
      </c>
      <c r="C20">
        <f>COUNTIFS(Sheet1!A:A,A20,Sheet1!D:D,"Chưa rõ")</f>
        <v>0</v>
      </c>
    </row>
    <row r="21" spans="1:3" x14ac:dyDescent="0.3">
      <c r="A21" s="1" t="s">
        <v>379</v>
      </c>
      <c r="B21" s="1">
        <f>COUNTIFS(Sheet1!K:K,A21,Sheet1!C:C,"x")</f>
        <v>2</v>
      </c>
      <c r="C21">
        <f>COUNTIFS(Sheet1!A:A,A21,Sheet1!D:D,"Chưa rõ")</f>
        <v>0</v>
      </c>
    </row>
    <row r="22" spans="1:3" x14ac:dyDescent="0.3">
      <c r="A22" s="1" t="s">
        <v>96</v>
      </c>
      <c r="B22" s="1">
        <f>COUNTIFS(Sheet1!K:K,A22,Sheet1!C:C,"x")</f>
        <v>1</v>
      </c>
      <c r="C22">
        <f>COUNTIFS(Sheet1!A:A,A22,Sheet1!D:D,"Chưa rõ")</f>
        <v>0</v>
      </c>
    </row>
    <row r="23" spans="1:3" x14ac:dyDescent="0.3">
      <c r="A23" s="1" t="s">
        <v>100</v>
      </c>
      <c r="B23" s="1">
        <f>COUNTIFS(Sheet1!K:K,A23,Sheet1!C:C,"x")</f>
        <v>2</v>
      </c>
      <c r="C23">
        <f>COUNTIFS(Sheet1!A:A,A23,Sheet1!D:D,"Chưa rõ")</f>
        <v>0</v>
      </c>
    </row>
    <row r="24" spans="1:3" x14ac:dyDescent="0.3">
      <c r="A24" s="1" t="s">
        <v>334</v>
      </c>
      <c r="B24" s="1">
        <f>COUNTIFS(Sheet1!K:K,A24,Sheet1!C:C,"x")</f>
        <v>1</v>
      </c>
      <c r="C24">
        <f>COUNTIFS(Sheet1!A:A,A24,Sheet1!D:D,"Chưa rõ")</f>
        <v>0</v>
      </c>
    </row>
    <row r="25" spans="1:3" x14ac:dyDescent="0.3">
      <c r="A25" s="1" t="s">
        <v>349</v>
      </c>
      <c r="B25" s="1">
        <f>COUNTIFS(Sheet1!K:K,A25,Sheet1!C:C,"x")</f>
        <v>1</v>
      </c>
      <c r="C25">
        <f>COUNTIFS(Sheet1!A:A,A25,Sheet1!D:D,"Chưa rõ")</f>
        <v>0</v>
      </c>
    </row>
    <row r="26" spans="1:3" x14ac:dyDescent="0.3">
      <c r="A26" s="1" t="s">
        <v>352</v>
      </c>
      <c r="B26" s="1">
        <f>COUNTIFS(Sheet1!K:K,A26,Sheet1!C:C,"x")</f>
        <v>2</v>
      </c>
      <c r="C26">
        <f>COUNTIFS(Sheet1!A:A,A26,Sheet1!D:D,"Chưa rõ")</f>
        <v>0</v>
      </c>
    </row>
    <row r="27" spans="1:3" x14ac:dyDescent="0.3">
      <c r="A27" s="1" t="s">
        <v>387</v>
      </c>
      <c r="B27" s="1">
        <f>COUNTIFS(Sheet1!K:K,A27,Sheet1!C:C,"x")</f>
        <v>1</v>
      </c>
      <c r="C27">
        <f>COUNTIFS(Sheet1!A:A,A27,Sheet1!D:D,"Chưa rõ")</f>
        <v>0</v>
      </c>
    </row>
    <row r="28" spans="1:3" x14ac:dyDescent="0.3">
      <c r="A28" s="1" t="s">
        <v>391</v>
      </c>
      <c r="B28" s="1">
        <f>COUNTIFS(Sheet1!K:K,A28,Sheet1!C:C,"x")</f>
        <v>1</v>
      </c>
      <c r="C28">
        <f>COUNTIFS(Sheet1!A:A,A28,Sheet1!D:D,"Chưa rõ")</f>
        <v>0</v>
      </c>
    </row>
    <row r="29" spans="1:3" x14ac:dyDescent="0.3">
      <c r="A29" s="1" t="s">
        <v>107</v>
      </c>
      <c r="B29" s="1">
        <f>COUNTIFS(Sheet1!K:K,A29,Sheet1!C:C,"x")</f>
        <v>1</v>
      </c>
      <c r="C29">
        <f>COUNTIFS(Sheet1!A:A,A29,Sheet1!D:D,"Chưa rõ")</f>
        <v>0</v>
      </c>
    </row>
    <row r="30" spans="1:3" x14ac:dyDescent="0.3">
      <c r="A30" s="1" t="s">
        <v>110</v>
      </c>
      <c r="B30" s="1">
        <f>COUNTIFS(Sheet1!K:K,A30,Sheet1!C:C,"x")</f>
        <v>2</v>
      </c>
      <c r="C30">
        <f>COUNTIFS(Sheet1!A:A,A30,Sheet1!D:D,"Chưa rõ")</f>
        <v>0</v>
      </c>
    </row>
    <row r="31" spans="1:3" x14ac:dyDescent="0.3">
      <c r="A31" s="1" t="s">
        <v>179</v>
      </c>
      <c r="B31" s="1">
        <f>COUNTIFS(Sheet1!K:K,A31,Sheet1!C:C,"x")</f>
        <v>6</v>
      </c>
      <c r="C31">
        <f>COUNTIFS(Sheet1!A:A,A31,Sheet1!D:D,"Chưa rõ")</f>
        <v>0</v>
      </c>
    </row>
    <row r="32" spans="1:3" x14ac:dyDescent="0.3">
      <c r="A32" s="1" t="s">
        <v>363</v>
      </c>
      <c r="B32" s="1">
        <f>COUNTIFS(Sheet1!K:K,A32,Sheet1!C:C,"x")</f>
        <v>1</v>
      </c>
      <c r="C32">
        <f>COUNTIFS(Sheet1!A:A,A32,Sheet1!D:D,"Chưa rõ")</f>
        <v>0</v>
      </c>
    </row>
    <row r="33" spans="1:3" x14ac:dyDescent="0.3">
      <c r="A33" s="1" t="s">
        <v>367</v>
      </c>
      <c r="B33" s="1">
        <f>COUNTIFS(Sheet1!K:K,A33,Sheet1!C:C,"x")</f>
        <v>1</v>
      </c>
      <c r="C33">
        <f>COUNTIFS(Sheet1!A:A,A33,Sheet1!D:D,"Chưa rõ")</f>
        <v>0</v>
      </c>
    </row>
    <row r="34" spans="1:3" x14ac:dyDescent="0.3">
      <c r="A34" s="1" t="s">
        <v>64</v>
      </c>
      <c r="B34" s="1">
        <f>COUNTIFS(Sheet1!K:K,A34,Sheet1!C:C,"x")</f>
        <v>1</v>
      </c>
      <c r="C34">
        <f>COUNTIFS(Sheet1!A:A,A34,Sheet1!D:D,"Chưa rõ")</f>
        <v>0</v>
      </c>
    </row>
    <row r="35" spans="1:3" x14ac:dyDescent="0.3">
      <c r="A35" s="1" t="s">
        <v>121</v>
      </c>
      <c r="B35" s="1">
        <f>COUNTIFS(Sheet1!K:K,A35,Sheet1!C:C,"x")</f>
        <v>1</v>
      </c>
      <c r="C35">
        <f>COUNTIFS(Sheet1!A:A,A35,Sheet1!D:D,"Chưa rõ")</f>
        <v>0</v>
      </c>
    </row>
    <row r="36" spans="1:3" x14ac:dyDescent="0.3">
      <c r="A36" s="1" t="s">
        <v>125</v>
      </c>
      <c r="B36" s="1">
        <f>COUNTIFS(Sheet1!K:K,A36,Sheet1!C:C,"x")</f>
        <v>1</v>
      </c>
      <c r="C36">
        <f>COUNTIFS(Sheet1!A:A,A36,Sheet1!D:D,"Chưa rõ")</f>
        <v>0</v>
      </c>
    </row>
    <row r="37" spans="1:3" x14ac:dyDescent="0.3">
      <c r="A37" s="1" t="s">
        <v>135</v>
      </c>
      <c r="B37" s="1">
        <f>COUNTIFS(Sheet1!K:K,A37,Sheet1!C:C,"x")</f>
        <v>3</v>
      </c>
      <c r="C37">
        <f>COUNTIFS(Sheet1!A:A,A37,Sheet1!D:D,"Chưa rõ")</f>
        <v>0</v>
      </c>
    </row>
    <row r="38" spans="1:3" x14ac:dyDescent="0.3">
      <c r="A38" s="1" t="s">
        <v>193</v>
      </c>
      <c r="B38" s="1">
        <f>COUNTIFS(Sheet1!K:K,A38,Sheet1!C:C,"x")</f>
        <v>1</v>
      </c>
      <c r="C38">
        <f>COUNTIFS(Sheet1!A:A,A38,Sheet1!D:D,"Chưa rõ")</f>
        <v>0</v>
      </c>
    </row>
    <row r="39" spans="1:3" x14ac:dyDescent="0.3">
      <c r="A39" s="1" t="s">
        <v>194</v>
      </c>
      <c r="B39" s="1">
        <f>COUNTIFS(Sheet1!K:K,A39,Sheet1!C:C,"x")</f>
        <v>1</v>
      </c>
      <c r="C39">
        <f>COUNTIFS(Sheet1!A:A,A39,Sheet1!D:D,"Chưa rõ")</f>
        <v>0</v>
      </c>
    </row>
    <row r="40" spans="1:3" x14ac:dyDescent="0.3">
      <c r="A40" s="1" t="s">
        <v>204</v>
      </c>
      <c r="B40" s="1">
        <f>COUNTIFS(Sheet1!K:K,A40,Sheet1!C:C,"x")</f>
        <v>1</v>
      </c>
      <c r="C40">
        <f>COUNTIFS(Sheet1!A:A,A40,Sheet1!D:D,"Chưa rõ")</f>
        <v>0</v>
      </c>
    </row>
    <row r="41" spans="1:3" x14ac:dyDescent="0.3">
      <c r="A41" s="1" t="s">
        <v>244</v>
      </c>
      <c r="B41" s="1">
        <f>COUNTIFS(Sheet1!K:K,A41,Sheet1!C:C,"x")</f>
        <v>1</v>
      </c>
      <c r="C41">
        <f>COUNTIFS(Sheet1!A:A,A41,Sheet1!D:D,"Chưa rõ")</f>
        <v>0</v>
      </c>
    </row>
    <row r="42" spans="1:3" x14ac:dyDescent="0.3">
      <c r="A42" s="1" t="s">
        <v>282</v>
      </c>
      <c r="B42" s="1">
        <f>COUNTIFS(Sheet1!K:K,A42,Sheet1!C:C,"x")</f>
        <v>4</v>
      </c>
      <c r="C42">
        <f>COUNTIFS(Sheet1!A:A,A42,Sheet1!D:D,"Chưa rõ")</f>
        <v>0</v>
      </c>
    </row>
    <row r="43" spans="1:3" x14ac:dyDescent="0.3">
      <c r="A43" s="1" t="s">
        <v>370</v>
      </c>
      <c r="B43" s="1">
        <f>COUNTIFS(Sheet1!K:K,A43,Sheet1!C:C,"x")</f>
        <v>1</v>
      </c>
      <c r="C43">
        <f>COUNTIFS(Sheet1!A:A,A43,Sheet1!D:D,"Chưa rõ")</f>
        <v>0</v>
      </c>
    </row>
    <row r="44" spans="1:3" x14ac:dyDescent="0.3">
      <c r="A44" s="1" t="s">
        <v>371</v>
      </c>
      <c r="B44" s="1">
        <f>COUNTIFS(Sheet1!K:K,A44,Sheet1!C:C,"x")</f>
        <v>1</v>
      </c>
      <c r="C44">
        <f>COUNTIFS(Sheet1!A:A,A44,Sheet1!D:D,"Chưa rõ")</f>
        <v>0</v>
      </c>
    </row>
    <row r="45" spans="1:3" x14ac:dyDescent="0.3">
      <c r="A45" s="1" t="s">
        <v>66</v>
      </c>
      <c r="B45" s="1">
        <f>COUNTIFS(Sheet1!K:K,A45,Sheet1!C:C,"x")</f>
        <v>1</v>
      </c>
      <c r="C45">
        <f>COUNTIFS(Sheet1!A:A,A45,Sheet1!D:D,"Chưa rõ")</f>
        <v>0</v>
      </c>
    </row>
    <row r="46" spans="1:3" x14ac:dyDescent="0.3">
      <c r="A46" s="1" t="s">
        <v>56</v>
      </c>
      <c r="B46" s="1">
        <f>COUNTIFS(Sheet1!K:K,A46,Sheet1!C:C,"x")</f>
        <v>2</v>
      </c>
      <c r="C46">
        <f>COUNTIFS(Sheet1!A:A,A46,Sheet1!D:D,"Chưa rõ")</f>
        <v>0</v>
      </c>
    </row>
    <row r="47" spans="1:3" x14ac:dyDescent="0.3">
      <c r="A47" s="1" t="s">
        <v>130</v>
      </c>
      <c r="B47" s="1">
        <f>COUNTIFS(Sheet1!K:K,A47,Sheet1!C:C,"x")</f>
        <v>1</v>
      </c>
      <c r="C47">
        <f>COUNTIFS(Sheet1!A:A,A47,Sheet1!D:D,"Chưa rõ")</f>
        <v>0</v>
      </c>
    </row>
    <row r="48" spans="1:3" x14ac:dyDescent="0.3">
      <c r="A48" s="1" t="s">
        <v>137</v>
      </c>
      <c r="B48" s="1">
        <f>COUNTIFS(Sheet1!K:K,A48,Sheet1!C:C,"x")</f>
        <v>1</v>
      </c>
      <c r="C48">
        <f>COUNTIFS(Sheet1!A:A,A48,Sheet1!D:D,"Chưa rõ")</f>
        <v>0</v>
      </c>
    </row>
    <row r="49" spans="1:3" x14ac:dyDescent="0.3">
      <c r="A49" s="1" t="s">
        <v>143</v>
      </c>
      <c r="B49" s="1">
        <f>COUNTIFS(Sheet1!K:K,A49,Sheet1!C:C,"x")</f>
        <v>6</v>
      </c>
      <c r="C49">
        <f>COUNTIFS(Sheet1!A:A,A49,Sheet1!D:D,"Chưa rõ")</f>
        <v>0</v>
      </c>
    </row>
    <row r="50" spans="1:3" x14ac:dyDescent="0.3">
      <c r="A50" s="1" t="s">
        <v>165</v>
      </c>
      <c r="B50" s="1">
        <f>COUNTIFS(Sheet1!K:K,A50,Sheet1!C:C,"x")</f>
        <v>3</v>
      </c>
      <c r="C50">
        <f>COUNTIFS(Sheet1!A:A,A50,Sheet1!D:D,"Chưa rõ")</f>
        <v>0</v>
      </c>
    </row>
    <row r="51" spans="1:3" x14ac:dyDescent="0.3">
      <c r="A51" s="1" t="s">
        <v>196</v>
      </c>
      <c r="B51" s="1">
        <f>COUNTIFS(Sheet1!K:K,A51,Sheet1!C:C,"x")</f>
        <v>2</v>
      </c>
      <c r="C51">
        <f>COUNTIFS(Sheet1!A:A,A51,Sheet1!D:D,"Chưa rõ")</f>
        <v>0</v>
      </c>
    </row>
    <row r="52" spans="1:3" x14ac:dyDescent="0.3">
      <c r="A52" s="1" t="s">
        <v>207</v>
      </c>
      <c r="B52" s="1">
        <f>COUNTIFS(Sheet1!K:K,A52,Sheet1!C:C,"x")</f>
        <v>3</v>
      </c>
      <c r="C52">
        <f>COUNTIFS(Sheet1!A:A,A52,Sheet1!D:D,"Chưa rõ")</f>
        <v>0</v>
      </c>
    </row>
    <row r="53" spans="1:3" x14ac:dyDescent="0.3">
      <c r="A53" s="1" t="s">
        <v>292</v>
      </c>
      <c r="B53" s="1">
        <f>COUNTIFS(Sheet1!K:K,A53,Sheet1!C:C,"x")</f>
        <v>2</v>
      </c>
      <c r="C53">
        <f>COUNTIFS(Sheet1!A:A,A53,Sheet1!D:D,"Chưa rõ")</f>
        <v>0</v>
      </c>
    </row>
    <row r="54" spans="1:3" x14ac:dyDescent="0.3">
      <c r="A54" s="1" t="s">
        <v>307</v>
      </c>
      <c r="B54" s="1">
        <f>COUNTIFS(Sheet1!K:K,A54,Sheet1!C:C,"x")</f>
        <v>2</v>
      </c>
      <c r="C54">
        <f>COUNTIFS(Sheet1!A:A,A54,Sheet1!D:D,"Chưa rõ")</f>
        <v>0</v>
      </c>
    </row>
    <row r="55" spans="1:3" x14ac:dyDescent="0.3">
      <c r="A55" s="1" t="s">
        <v>317</v>
      </c>
      <c r="B55" s="1">
        <f>COUNTIFS(Sheet1!K:K,A55,Sheet1!C:C,"x")</f>
        <v>2</v>
      </c>
      <c r="C55">
        <f>COUNTIFS(Sheet1!A:A,A55,Sheet1!D:D,"Chưa rõ")</f>
        <v>0</v>
      </c>
    </row>
    <row r="56" spans="1:3" x14ac:dyDescent="0.3">
      <c r="A56" s="1" t="s">
        <v>329</v>
      </c>
      <c r="B56" s="1">
        <f>COUNTIFS(Sheet1!K:K,A56,Sheet1!C:C,"x")</f>
        <v>1</v>
      </c>
      <c r="C56">
        <f>COUNTIFS(Sheet1!A:A,A56,Sheet1!D:D,"Chưa rõ")</f>
        <v>0</v>
      </c>
    </row>
    <row r="57" spans="1:3" x14ac:dyDescent="0.3">
      <c r="A57" s="1" t="s">
        <v>677</v>
      </c>
      <c r="B57" s="1">
        <f>COUNTIFS(Sheet1!K:K,A57,Sheet1!C:C,"x")</f>
        <v>2</v>
      </c>
      <c r="C57">
        <f>COUNTIFS(Sheet1!A:A,A57,Sheet1!D:D,"Chưa rõ")</f>
        <v>0</v>
      </c>
    </row>
    <row r="58" spans="1:3" x14ac:dyDescent="0.3">
      <c r="A58" s="1" t="s">
        <v>8</v>
      </c>
      <c r="B58" s="1">
        <f>COUNTIFS(Sheet1!K:K,A58,Sheet1!C:C,"x")</f>
        <v>3</v>
      </c>
      <c r="C58">
        <f>COUNTIFS(Sheet1!A:A,A58,Sheet1!D:D,"Chưa rõ")</f>
        <v>0</v>
      </c>
    </row>
    <row r="59" spans="1:3" x14ac:dyDescent="0.3">
      <c r="A59" s="1" t="s">
        <v>10</v>
      </c>
      <c r="B59" s="1">
        <f>COUNTIFS(Sheet1!K:K,A59,Sheet1!C:C,"x")</f>
        <v>2</v>
      </c>
      <c r="C59">
        <f>COUNTIFS(Sheet1!A:A,A59,Sheet1!D:D,"Chưa rõ")</f>
        <v>0</v>
      </c>
    </row>
    <row r="60" spans="1:3" x14ac:dyDescent="0.3">
      <c r="A60" s="1" t="s">
        <v>140</v>
      </c>
      <c r="B60" s="1">
        <f>COUNTIFS(Sheet1!K:K,A60,Sheet1!C:C,"x")</f>
        <v>2</v>
      </c>
      <c r="C60">
        <f>COUNTIFS(Sheet1!A:A,A60,Sheet1!D:D,"Chưa rõ")</f>
        <v>0</v>
      </c>
    </row>
    <row r="61" spans="1:3" x14ac:dyDescent="0.3">
      <c r="A61" s="1" t="s">
        <v>151</v>
      </c>
      <c r="B61" s="1">
        <f>COUNTIFS(Sheet1!K:K,A61,Sheet1!C:C,"x")</f>
        <v>2</v>
      </c>
      <c r="C61">
        <f>COUNTIFS(Sheet1!A:A,A61,Sheet1!D:D,"Chưa rõ")</f>
        <v>0</v>
      </c>
    </row>
    <row r="62" spans="1:3" x14ac:dyDescent="0.3">
      <c r="A62" s="1" t="s">
        <v>155</v>
      </c>
      <c r="B62" s="1">
        <f>COUNTIFS(Sheet1!K:K,A62,Sheet1!C:C,"x")</f>
        <v>1</v>
      </c>
      <c r="C62">
        <f>COUNTIFS(Sheet1!A:A,A62,Sheet1!D:D,"Chưa rõ")</f>
        <v>0</v>
      </c>
    </row>
    <row r="63" spans="1:3" x14ac:dyDescent="0.3">
      <c r="A63" s="1" t="s">
        <v>158</v>
      </c>
      <c r="B63" s="1">
        <f>COUNTIFS(Sheet1!K:K,A63,Sheet1!C:C,"x")</f>
        <v>2</v>
      </c>
      <c r="C63">
        <f>COUNTIFS(Sheet1!A:A,A63,Sheet1!D:D,"Chưa rõ")</f>
        <v>0</v>
      </c>
    </row>
    <row r="64" spans="1:3" x14ac:dyDescent="0.3">
      <c r="A64" s="1" t="s">
        <v>160</v>
      </c>
      <c r="B64" s="1">
        <f>COUNTIFS(Sheet1!K:K,A64,Sheet1!C:C,"x")</f>
        <v>1</v>
      </c>
      <c r="C64">
        <f>COUNTIFS(Sheet1!A:A,A64,Sheet1!D:D,"Chưa rõ")</f>
        <v>0</v>
      </c>
    </row>
    <row r="65" spans="1:3" x14ac:dyDescent="0.3">
      <c r="A65" s="1" t="s">
        <v>162</v>
      </c>
      <c r="B65" s="1">
        <f>COUNTIFS(Sheet1!K:K,A65,Sheet1!C:C,"x")</f>
        <v>2</v>
      </c>
      <c r="C65">
        <f>COUNTIFS(Sheet1!A:A,A65,Sheet1!D:D,"Chưa rõ")</f>
        <v>0</v>
      </c>
    </row>
    <row r="66" spans="1:3" x14ac:dyDescent="0.3">
      <c r="A66" s="1" t="s">
        <v>163</v>
      </c>
      <c r="B66" s="1">
        <f>COUNTIFS(Sheet1!K:K,A66,Sheet1!C:C,"x")</f>
        <v>1</v>
      </c>
      <c r="C66">
        <f>COUNTIFS(Sheet1!A:A,A66,Sheet1!D:D,"Chưa rõ")</f>
        <v>0</v>
      </c>
    </row>
    <row r="67" spans="1:3" x14ac:dyDescent="0.3">
      <c r="A67" s="1" t="s">
        <v>164</v>
      </c>
      <c r="B67" s="1">
        <f>COUNTIFS(Sheet1!K:K,A67,Sheet1!C:C,"x")</f>
        <v>1</v>
      </c>
      <c r="C67">
        <f>COUNTIFS(Sheet1!A:A,A67,Sheet1!D:D,"Chưa rõ")</f>
        <v>0</v>
      </c>
    </row>
    <row r="68" spans="1:3" x14ac:dyDescent="0.3">
      <c r="A68" s="1" t="s">
        <v>172</v>
      </c>
      <c r="B68" s="1">
        <f>COUNTIFS(Sheet1!K:K,A68,Sheet1!C:C,"x")</f>
        <v>2</v>
      </c>
      <c r="C68">
        <f>COUNTIFS(Sheet1!A:A,A68,Sheet1!D:D,"Chưa rõ")</f>
        <v>0</v>
      </c>
    </row>
    <row r="69" spans="1:3" x14ac:dyDescent="0.3">
      <c r="A69" s="1" t="s">
        <v>176</v>
      </c>
      <c r="B69" s="1">
        <f>COUNTIFS(Sheet1!K:K,A69,Sheet1!C:C,"x")</f>
        <v>1</v>
      </c>
      <c r="C69">
        <f>COUNTIFS(Sheet1!A:A,A69,Sheet1!D:D,"Chưa rõ")</f>
        <v>0</v>
      </c>
    </row>
    <row r="70" spans="1:3" x14ac:dyDescent="0.3">
      <c r="A70" s="1" t="s">
        <v>202</v>
      </c>
      <c r="B70" s="1">
        <f>COUNTIFS(Sheet1!K:K,A70,Sheet1!C:C,"x")</f>
        <v>1</v>
      </c>
      <c r="C70">
        <f>COUNTIFS(Sheet1!A:A,A70,Sheet1!D:D,"Chưa rõ")</f>
        <v>0</v>
      </c>
    </row>
    <row r="71" spans="1:3" x14ac:dyDescent="0.3">
      <c r="A71" s="1" t="s">
        <v>211</v>
      </c>
      <c r="B71" s="1">
        <f>COUNTIFS(Sheet1!K:K,A71,Sheet1!C:C,"x")</f>
        <v>3</v>
      </c>
      <c r="C71">
        <f>COUNTIFS(Sheet1!A:A,A71,Sheet1!D:D,"Chưa rõ")</f>
        <v>0</v>
      </c>
    </row>
    <row r="72" spans="1:3" x14ac:dyDescent="0.3">
      <c r="A72" s="1" t="s">
        <v>222</v>
      </c>
      <c r="B72" s="1">
        <f>COUNTIFS(Sheet1!K:K,A72,Sheet1!C:C,"x")</f>
        <v>4</v>
      </c>
      <c r="C72">
        <f>COUNTIFS(Sheet1!A:A,A72,Sheet1!D:D,"Chưa rõ")</f>
        <v>0</v>
      </c>
    </row>
    <row r="73" spans="1:3" x14ac:dyDescent="0.3">
      <c r="A73" s="1" t="s">
        <v>230</v>
      </c>
      <c r="B73" s="1">
        <f>COUNTIFS(Sheet1!K:K,A73,Sheet1!C:C,"x")</f>
        <v>4</v>
      </c>
      <c r="C73">
        <f>COUNTIFS(Sheet1!A:A,A73,Sheet1!D:D,"Chưa rõ")</f>
        <v>0</v>
      </c>
    </row>
    <row r="74" spans="1:3" x14ac:dyDescent="0.3">
      <c r="A74" s="1" t="s">
        <v>260</v>
      </c>
      <c r="B74" s="1">
        <f>COUNTIFS(Sheet1!K:K,A74,Sheet1!C:C,"x")</f>
        <v>2</v>
      </c>
      <c r="C74">
        <f>COUNTIFS(Sheet1!A:A,A74,Sheet1!D:D,"Chưa rõ")</f>
        <v>0</v>
      </c>
    </row>
    <row r="75" spans="1:3" x14ac:dyDescent="0.3">
      <c r="A75" s="1" t="s">
        <v>297</v>
      </c>
      <c r="B75" s="1">
        <f>COUNTIFS(Sheet1!K:K,A75,Sheet1!C:C,"x")</f>
        <v>1</v>
      </c>
      <c r="C75">
        <f>COUNTIFS(Sheet1!A:A,A75,Sheet1!D:D,"Chưa rõ")</f>
        <v>0</v>
      </c>
    </row>
    <row r="76" spans="1:3" x14ac:dyDescent="0.3">
      <c r="A76" s="1" t="s">
        <v>304</v>
      </c>
      <c r="B76" s="1">
        <f>COUNTIFS(Sheet1!K:K,A76,Sheet1!C:C,"x")</f>
        <v>3</v>
      </c>
      <c r="C76">
        <f>COUNTIFS(Sheet1!A:A,A76,Sheet1!D:D,"Chưa rõ")</f>
        <v>0</v>
      </c>
    </row>
    <row r="77" spans="1:3" x14ac:dyDescent="0.3">
      <c r="A77" s="1" t="s">
        <v>311</v>
      </c>
      <c r="B77" s="1">
        <f>COUNTIFS(Sheet1!K:K,A77,Sheet1!C:C,"x")</f>
        <v>2</v>
      </c>
      <c r="C77">
        <f>COUNTIFS(Sheet1!A:A,A77,Sheet1!D:D,"Chưa rõ")</f>
        <v>0</v>
      </c>
    </row>
    <row r="78" spans="1:3" x14ac:dyDescent="0.3">
      <c r="A78" s="1" t="s">
        <v>313</v>
      </c>
      <c r="B78" s="1">
        <f>COUNTIFS(Sheet1!K:K,A78,Sheet1!C:C,"x")</f>
        <v>2</v>
      </c>
      <c r="C78">
        <f>COUNTIFS(Sheet1!A:A,A78,Sheet1!D:D,"Chưa rõ")</f>
        <v>0</v>
      </c>
    </row>
    <row r="79" spans="1:3" x14ac:dyDescent="0.3">
      <c r="A79" s="1" t="s">
        <v>321</v>
      </c>
      <c r="B79" s="1">
        <f>COUNTIFS(Sheet1!K:K,A79,Sheet1!C:C,"x")</f>
        <v>2</v>
      </c>
      <c r="C79">
        <f>COUNTIFS(Sheet1!A:A,A79,Sheet1!D:D,"Chưa rõ")</f>
        <v>0</v>
      </c>
    </row>
    <row r="80" spans="1:3" x14ac:dyDescent="0.3">
      <c r="A80" s="1" t="s">
        <v>13</v>
      </c>
      <c r="B80" s="1">
        <f>COUNTIFS(Sheet1!K:K,A80,Sheet1!C:C,"x")</f>
        <v>1</v>
      </c>
      <c r="C80">
        <f>COUNTIFS(Sheet1!A:A,A80,Sheet1!D:D,"Chưa rõ")</f>
        <v>0</v>
      </c>
    </row>
    <row r="81" spans="1:3" x14ac:dyDescent="0.3">
      <c r="A81" s="1" t="s">
        <v>16</v>
      </c>
      <c r="B81" s="1">
        <f>COUNTIFS(Sheet1!K:K,A81,Sheet1!C:C,"x")</f>
        <v>1</v>
      </c>
      <c r="C81">
        <f>COUNTIFS(Sheet1!A:A,A81,Sheet1!D:D,"Chưa rõ")</f>
        <v>0</v>
      </c>
    </row>
    <row r="82" spans="1:3" x14ac:dyDescent="0.3">
      <c r="A82" s="1" t="s">
        <v>19</v>
      </c>
      <c r="B82" s="1">
        <f>COUNTIFS(Sheet1!K:K,A82,Sheet1!C:C,"x")</f>
        <v>1</v>
      </c>
      <c r="C82">
        <f>COUNTIFS(Sheet1!A:A,A82,Sheet1!D:D,"Chưa rõ")</f>
        <v>0</v>
      </c>
    </row>
    <row r="83" spans="1:3" x14ac:dyDescent="0.3">
      <c r="A83" s="1" t="s">
        <v>22</v>
      </c>
      <c r="B83" s="1">
        <f>COUNTIFS(Sheet1!K:K,A83,Sheet1!C:C,"x")</f>
        <v>2</v>
      </c>
      <c r="C83">
        <f>COUNTIFS(Sheet1!A:A,A83,Sheet1!D:D,"Chưa rõ")</f>
        <v>0</v>
      </c>
    </row>
    <row r="84" spans="1:3" x14ac:dyDescent="0.3">
      <c r="A84" s="1" t="s">
        <v>25</v>
      </c>
      <c r="B84" s="1">
        <f>COUNTIFS(Sheet1!K:K,A84,Sheet1!C:C,"x")</f>
        <v>2</v>
      </c>
      <c r="C84">
        <f>COUNTIFS(Sheet1!A:A,A84,Sheet1!D:D,"Chưa rõ")</f>
        <v>0</v>
      </c>
    </row>
    <row r="85" spans="1:3" x14ac:dyDescent="0.3">
      <c r="A85" s="1" t="s">
        <v>486</v>
      </c>
      <c r="B85" s="1">
        <f>COUNTIFS(Sheet1!K:K,A85,Sheet1!C:C,"x")</f>
        <v>0</v>
      </c>
      <c r="C85">
        <f>COUNTIFS(Sheet1!A:A,A85,Sheet1!D:D,"Chưa rõ")</f>
        <v>0</v>
      </c>
    </row>
    <row r="86" spans="1:3" x14ac:dyDescent="0.3">
      <c r="A86" s="1" t="s">
        <v>494</v>
      </c>
      <c r="B86" s="1">
        <f>COUNTIFS(Sheet1!K:K,A86,Sheet1!C:C,"x")</f>
        <v>1</v>
      </c>
      <c r="C86">
        <f>COUNTIFS(Sheet1!A:A,A86,Sheet1!D:D,"Chưa rõ")</f>
        <v>0</v>
      </c>
    </row>
    <row r="87" spans="1:3" x14ac:dyDescent="0.3">
      <c r="A87" s="1" t="s">
        <v>498</v>
      </c>
      <c r="B87" s="1">
        <f>COUNTIFS(Sheet1!K:K,A87,Sheet1!C:C,"x")</f>
        <v>2</v>
      </c>
      <c r="C87">
        <f>COUNTIFS(Sheet1!A:A,A87,Sheet1!D:D,"Chưa rõ")</f>
        <v>0</v>
      </c>
    </row>
    <row r="88" spans="1:3" x14ac:dyDescent="0.3">
      <c r="A88" s="1" t="s">
        <v>507</v>
      </c>
      <c r="B88" s="1">
        <f>COUNTIFS(Sheet1!K:K,A88,Sheet1!C:C,"x")</f>
        <v>0</v>
      </c>
      <c r="C88">
        <f>COUNTIFS(Sheet1!A:A,A88,Sheet1!D:D,"Chưa rõ")</f>
        <v>0</v>
      </c>
    </row>
    <row r="89" spans="1:3" x14ac:dyDescent="0.3">
      <c r="A89" s="1" t="s">
        <v>513</v>
      </c>
      <c r="B89" s="1">
        <f>COUNTIFS(Sheet1!K:K,A89,Sheet1!C:C,"x")</f>
        <v>0</v>
      </c>
      <c r="C89">
        <f>COUNTIFS(Sheet1!A:A,A89,Sheet1!D:D,"Chưa rõ")</f>
        <v>0</v>
      </c>
    </row>
    <row r="90" spans="1:3" x14ac:dyDescent="0.3">
      <c r="A90" s="1" t="s">
        <v>514</v>
      </c>
      <c r="B90" s="1">
        <f>COUNTIFS(Sheet1!K:K,A90,Sheet1!C:C,"x")</f>
        <v>0</v>
      </c>
      <c r="C90">
        <f>COUNTIFS(Sheet1!A:A,A90,Sheet1!D:D,"Chưa rõ")</f>
        <v>0</v>
      </c>
    </row>
    <row r="91" spans="1:3" x14ac:dyDescent="0.3">
      <c r="A91" s="1" t="s">
        <v>679</v>
      </c>
      <c r="B91" s="1">
        <f>COUNTIFS(Sheet1!K:K,A91,Sheet1!C:C,"x")</f>
        <v>2</v>
      </c>
      <c r="C91">
        <f>COUNTIFS(Sheet1!A:A,A91,Sheet1!D:D,"Chưa rõ")</f>
        <v>0</v>
      </c>
    </row>
    <row r="92" spans="1:3" x14ac:dyDescent="0.3">
      <c r="A92" s="1" t="s">
        <v>520</v>
      </c>
      <c r="B92" s="1">
        <f>COUNTIFS(Sheet1!K:K,A92,Sheet1!C:C,"x")</f>
        <v>1</v>
      </c>
      <c r="C92">
        <f>COUNTIFS(Sheet1!A:A,A92,Sheet1!D:D,"Chưa rõ")</f>
        <v>0</v>
      </c>
    </row>
    <row r="93" spans="1:3" x14ac:dyDescent="0.3">
      <c r="A93" s="1" t="s">
        <v>527</v>
      </c>
      <c r="B93" s="1">
        <f>COUNTIFS(Sheet1!K:K,A93,Sheet1!C:C,"x")</f>
        <v>1</v>
      </c>
      <c r="C93">
        <f>COUNTIFS(Sheet1!A:A,A93,Sheet1!D:D,"Chưa rõ")</f>
        <v>0</v>
      </c>
    </row>
    <row r="94" spans="1:3" x14ac:dyDescent="0.3">
      <c r="A94" s="1" t="s">
        <v>534</v>
      </c>
      <c r="B94" s="1">
        <f>COUNTIFS(Sheet1!K:K,A94,Sheet1!C:C,"x")</f>
        <v>1</v>
      </c>
      <c r="C94">
        <f>COUNTIFS(Sheet1!A:A,A94,Sheet1!D:D,"Chưa rõ")</f>
        <v>0</v>
      </c>
    </row>
    <row r="95" spans="1:3" x14ac:dyDescent="0.3">
      <c r="A95" s="1" t="s">
        <v>216</v>
      </c>
      <c r="B95" s="1">
        <f>COUNTIFS(Sheet1!K:K,A95,Sheet1!C:C,"x")</f>
        <v>1</v>
      </c>
      <c r="C95">
        <f>COUNTIFS(Sheet1!A:A,A95,Sheet1!D:D,"Chưa rõ")</f>
        <v>0</v>
      </c>
    </row>
    <row r="96" spans="1:3" x14ac:dyDescent="0.3">
      <c r="A96" s="1" t="s">
        <v>219</v>
      </c>
      <c r="B96" s="1">
        <f>COUNTIFS(Sheet1!K:K,A96,Sheet1!C:C,"x")</f>
        <v>1</v>
      </c>
      <c r="C96">
        <f>COUNTIFS(Sheet1!A:A,A96,Sheet1!D:D,"Chưa rõ")</f>
        <v>0</v>
      </c>
    </row>
    <row r="97" spans="1:3" x14ac:dyDescent="0.3">
      <c r="A97" s="1" t="s">
        <v>395</v>
      </c>
      <c r="B97" s="1">
        <f>COUNTIFS(Sheet1!K:K,A97,Sheet1!C:C,"x")</f>
        <v>1</v>
      </c>
      <c r="C97">
        <f>COUNTIFS(Sheet1!A:A,A97,Sheet1!D:D,"Chưa rõ")</f>
        <v>0</v>
      </c>
    </row>
    <row r="98" spans="1:3" x14ac:dyDescent="0.3">
      <c r="A98" s="1" t="s">
        <v>228</v>
      </c>
      <c r="B98" s="1">
        <f>COUNTIFS(Sheet1!K:K,A98,Sheet1!C:C,"x")</f>
        <v>2</v>
      </c>
      <c r="C98">
        <f>COUNTIFS(Sheet1!A:A,A98,Sheet1!D:D,"Chưa rõ")</f>
        <v>0</v>
      </c>
    </row>
    <row r="99" spans="1:3" x14ac:dyDescent="0.3">
      <c r="A99" s="1" t="s">
        <v>553</v>
      </c>
      <c r="B99" s="1">
        <f>COUNTIFS(Sheet1!K:K,A99,Sheet1!C:C,"x")</f>
        <v>0</v>
      </c>
      <c r="C99">
        <f>COUNTIFS(Sheet1!A:A,A99,Sheet1!D:D,"Chưa rõ")</f>
        <v>0</v>
      </c>
    </row>
    <row r="100" spans="1:3" x14ac:dyDescent="0.3">
      <c r="A100" s="1" t="s">
        <v>558</v>
      </c>
      <c r="B100" s="1">
        <f>COUNTIFS(Sheet1!K:K,A100,Sheet1!C:C,"x")</f>
        <v>1</v>
      </c>
      <c r="C100">
        <f>COUNTIFS(Sheet1!A:A,A100,Sheet1!D:D,"Chưa rõ")</f>
        <v>0</v>
      </c>
    </row>
    <row r="101" spans="1:3" x14ac:dyDescent="0.3">
      <c r="A101" s="1" t="s">
        <v>556</v>
      </c>
      <c r="B101" s="1">
        <f>COUNTIFS(Sheet1!K:K,A101,Sheet1!C:C,"x")</f>
        <v>1</v>
      </c>
      <c r="C101">
        <f>COUNTIFS(Sheet1!A:A,A101,Sheet1!D:D,"Chưa rõ")</f>
        <v>0</v>
      </c>
    </row>
    <row r="102" spans="1:3" x14ac:dyDescent="0.3">
      <c r="A102" s="1" t="s">
        <v>235</v>
      </c>
      <c r="B102" s="1">
        <f>COUNTIFS(Sheet1!K:K,A102,Sheet1!C:C,"x")</f>
        <v>3</v>
      </c>
      <c r="C102">
        <f>COUNTIFS(Sheet1!A:A,A102,Sheet1!D:D,"Chưa rõ")</f>
        <v>0</v>
      </c>
    </row>
    <row r="103" spans="1:3" x14ac:dyDescent="0.3">
      <c r="A103" s="1" t="s">
        <v>237</v>
      </c>
      <c r="B103" s="1">
        <f>COUNTIFS(Sheet1!K:K,A103,Sheet1!C:C,"x")</f>
        <v>1</v>
      </c>
      <c r="C103">
        <f>COUNTIFS(Sheet1!A:A,A103,Sheet1!D:D,"Chưa rõ")</f>
        <v>0</v>
      </c>
    </row>
    <row r="104" spans="1:3" x14ac:dyDescent="0.3">
      <c r="A104" s="1" t="s">
        <v>239</v>
      </c>
      <c r="B104" s="1">
        <f>COUNTIFS(Sheet1!K:K,A104,Sheet1!C:C,"x")</f>
        <v>2</v>
      </c>
      <c r="C104">
        <f>COUNTIFS(Sheet1!A:A,A104,Sheet1!D:D,"Chưa rõ")</f>
        <v>0</v>
      </c>
    </row>
    <row r="105" spans="1:3" x14ac:dyDescent="0.3">
      <c r="A105" s="1" t="s">
        <v>572</v>
      </c>
      <c r="B105" s="1">
        <f>COUNTIFS(Sheet1!K:K,A105,Sheet1!C:C,"x")</f>
        <v>1</v>
      </c>
      <c r="C105">
        <f>COUNTIFS(Sheet1!A:A,A105,Sheet1!D:D,"Chưa rõ")</f>
        <v>0</v>
      </c>
    </row>
    <row r="106" spans="1:3" x14ac:dyDescent="0.3">
      <c r="A106" s="1" t="s">
        <v>265</v>
      </c>
      <c r="B106" s="1">
        <f>COUNTIFS(Sheet1!K:K,A106,Sheet1!C:C,"x")</f>
        <v>2</v>
      </c>
      <c r="C106">
        <f>COUNTIFS(Sheet1!A:A,A106,Sheet1!D:D,"Chưa rõ")</f>
        <v>0</v>
      </c>
    </row>
    <row r="107" spans="1:3" x14ac:dyDescent="0.3">
      <c r="A107" s="1" t="s">
        <v>275</v>
      </c>
      <c r="B107" s="1">
        <f>COUNTIFS(Sheet1!K:K,A107,Sheet1!C:C,"x")</f>
        <v>0</v>
      </c>
      <c r="C107">
        <f>COUNTIFS(Sheet1!A:A,A107,Sheet1!D:D,"Chưa rõ")</f>
        <v>0</v>
      </c>
    </row>
    <row r="108" spans="1:3" x14ac:dyDescent="0.3">
      <c r="A108" s="1" t="s">
        <v>300</v>
      </c>
      <c r="B108" s="1">
        <f>COUNTIFS(Sheet1!K:K,A108,Sheet1!C:C,"x")</f>
        <v>2</v>
      </c>
      <c r="C108">
        <f>COUNTIFS(Sheet1!A:A,A108,Sheet1!D:D,"Chưa rõ")</f>
        <v>0</v>
      </c>
    </row>
    <row r="109" spans="1:3" x14ac:dyDescent="0.3">
      <c r="A109" s="1" t="s">
        <v>581</v>
      </c>
      <c r="B109" s="1">
        <f>COUNTIFS(Sheet1!K:K,A109,Sheet1!C:C,"x")</f>
        <v>1</v>
      </c>
      <c r="C109">
        <f>COUNTIFS(Sheet1!A:A,A109,Sheet1!D:D,"Chưa rõ")</f>
        <v>0</v>
      </c>
    </row>
    <row r="110" spans="1:3" x14ac:dyDescent="0.3">
      <c r="A110" s="1" t="s">
        <v>584</v>
      </c>
      <c r="B110" s="1">
        <f>COUNTIFS(Sheet1!K:K,A110,Sheet1!C:C,"x")</f>
        <v>2</v>
      </c>
      <c r="C110">
        <f>COUNTIFS(Sheet1!A:A,A110,Sheet1!D:D,"Chưa rõ")</f>
        <v>0</v>
      </c>
    </row>
    <row r="111" spans="1:3" x14ac:dyDescent="0.3">
      <c r="A111" s="1" t="s">
        <v>593</v>
      </c>
      <c r="B111" s="1">
        <f>COUNTIFS(Sheet1!K:K,A111,Sheet1!C:C,"x")</f>
        <v>1</v>
      </c>
      <c r="C111">
        <f>COUNTIFS(Sheet1!A:A,A111,Sheet1!D:D,"Chưa rõ")</f>
        <v>0</v>
      </c>
    </row>
    <row r="112" spans="1:3" x14ac:dyDescent="0.3">
      <c r="A112" s="1" t="s">
        <v>598</v>
      </c>
      <c r="B112" s="1">
        <f>COUNTIFS(Sheet1!K:K,A112,Sheet1!C:C,"x")</f>
        <v>2</v>
      </c>
      <c r="C112">
        <f>COUNTIFS(Sheet1!A:A,A112,Sheet1!D:D,"Chưa rõ")</f>
        <v>0</v>
      </c>
    </row>
    <row r="113" spans="1:3" x14ac:dyDescent="0.3">
      <c r="A113" s="1" t="s">
        <v>604</v>
      </c>
      <c r="B113" s="1">
        <f>COUNTIFS(Sheet1!K:K,A113,Sheet1!C:C,"x")</f>
        <v>2</v>
      </c>
      <c r="C113">
        <f>COUNTIFS(Sheet1!A:A,A113,Sheet1!D:D,"Chưa rõ")</f>
        <v>0</v>
      </c>
    </row>
    <row r="114" spans="1:3" x14ac:dyDescent="0.3">
      <c r="A114" s="1" t="s">
        <v>606</v>
      </c>
      <c r="B114" s="1">
        <f>COUNTIFS(Sheet1!K:K,A114,Sheet1!C:C,"x")</f>
        <v>0</v>
      </c>
      <c r="C114">
        <f>COUNTIFS(Sheet1!A:A,A114,Sheet1!D:D,"Chưa rõ")</f>
        <v>0</v>
      </c>
    </row>
    <row r="115" spans="1:3" x14ac:dyDescent="0.3">
      <c r="A115" s="1" t="s">
        <v>323</v>
      </c>
      <c r="B115" s="1">
        <f>COUNTIFS(Sheet1!K:K,A115,Sheet1!C:C,"x")</f>
        <v>1</v>
      </c>
      <c r="C115">
        <f>COUNTIFS(Sheet1!A:A,A115,Sheet1!D:D,"Chưa rõ")</f>
        <v>0</v>
      </c>
    </row>
    <row r="116" spans="1:3" x14ac:dyDescent="0.3">
      <c r="A116" s="1" t="s">
        <v>328</v>
      </c>
      <c r="B116" s="1">
        <f>COUNTIFS(Sheet1!K:K,A116,Sheet1!C:C,"x")</f>
        <v>1</v>
      </c>
      <c r="C116">
        <f>COUNTIFS(Sheet1!A:A,A116,Sheet1!D:D,"Chưa rõ")</f>
        <v>0</v>
      </c>
    </row>
    <row r="117" spans="1:3" x14ac:dyDescent="0.3">
      <c r="A117" s="1" t="s">
        <v>587</v>
      </c>
      <c r="B117" s="1">
        <f>COUNTIFS(Sheet1!K:K,A117,Sheet1!C:C,"x")</f>
        <v>1</v>
      </c>
      <c r="C117">
        <f>COUNTIFS(Sheet1!A:A,A117,Sheet1!D:D,"Chưa rõ")</f>
        <v>0</v>
      </c>
    </row>
    <row r="118" spans="1:3" x14ac:dyDescent="0.3">
      <c r="A118" s="1" t="s">
        <v>659</v>
      </c>
      <c r="B118" s="1">
        <f>COUNTIFS(Sheet1!K:K,A118,Sheet1!C:C,"x")</f>
        <v>1</v>
      </c>
      <c r="C118">
        <f>COUNTIFS(Sheet1!A:A,A118,Sheet1!D:D,"Chưa rõ")</f>
        <v>0</v>
      </c>
    </row>
    <row r="119" spans="1:3" x14ac:dyDescent="0.3">
      <c r="A119" s="1" t="s">
        <v>649</v>
      </c>
      <c r="B119" s="1">
        <f>COUNTIFS(Sheet1!K:K,A119,Sheet1!C:C,"x")</f>
        <v>2</v>
      </c>
      <c r="C119">
        <f>COUNTIFS(Sheet1!A:A,A119,Sheet1!D:D,"Chưa rõ")</f>
        <v>0</v>
      </c>
    </row>
    <row r="120" spans="1:3" x14ac:dyDescent="0.3">
      <c r="A120" s="1" t="s">
        <v>637</v>
      </c>
      <c r="B120" s="1">
        <f>COUNTIFS(Sheet1!K:K,A120,Sheet1!C:C,"x")</f>
        <v>1</v>
      </c>
      <c r="C120">
        <f>COUNTIFS(Sheet1!A:A,A120,Sheet1!D:D,"Chưa rõ")</f>
        <v>0</v>
      </c>
    </row>
    <row r="121" spans="1:3" x14ac:dyDescent="0.3">
      <c r="A121" s="1" t="s">
        <v>640</v>
      </c>
      <c r="B121" s="1">
        <f>COUNTIFS(Sheet1!K:K,A121,Sheet1!C:C,"x")</f>
        <v>1</v>
      </c>
      <c r="C121">
        <f>COUNTIFS(Sheet1!A:A,A121,Sheet1!D:D,"Chưa rõ")</f>
        <v>0</v>
      </c>
    </row>
    <row r="122" spans="1:3" x14ac:dyDescent="0.3">
      <c r="A122" s="1" t="s">
        <v>655</v>
      </c>
      <c r="B122" s="1">
        <f>COUNTIFS(Sheet1!K:K,A122,Sheet1!C:C,"x")</f>
        <v>2</v>
      </c>
      <c r="C122">
        <f>COUNTIFS(Sheet1!A:A,A122,Sheet1!D:D,"Chưa rõ")</f>
        <v>0</v>
      </c>
    </row>
    <row r="123" spans="1:3" x14ac:dyDescent="0.3">
      <c r="A123" s="1" t="s">
        <v>673</v>
      </c>
      <c r="B123" s="1">
        <f>COUNTIFS(Sheet1!K:K,A123,Sheet1!C:C,"x")</f>
        <v>0</v>
      </c>
      <c r="C123">
        <f>COUNTIFS(Sheet1!A:A,A123,Sheet1!D:D,"Chưa rõ")</f>
        <v>0</v>
      </c>
    </row>
    <row r="124" spans="1:3" x14ac:dyDescent="0.3">
      <c r="A124" s="1" t="s">
        <v>618</v>
      </c>
      <c r="B124" s="1">
        <f>COUNTIFS(Sheet1!K:K,A124,Sheet1!C:C,"x")</f>
        <v>1</v>
      </c>
      <c r="C124">
        <f>COUNTIFS(Sheet1!A:A,A124,Sheet1!D:D,"Chưa rõ")</f>
        <v>0</v>
      </c>
    </row>
    <row r="125" spans="1:3" x14ac:dyDescent="0.3">
      <c r="A125" s="1" t="s">
        <v>622</v>
      </c>
      <c r="B125" s="1">
        <f>COUNTIFS(Sheet1!K:K,A125,Sheet1!C:C,"x")</f>
        <v>1</v>
      </c>
      <c r="C125">
        <f>COUNTIFS(Sheet1!A:A,A125,Sheet1!D:D,"Chưa rõ")</f>
        <v>0</v>
      </c>
    </row>
    <row r="126" spans="1:3" x14ac:dyDescent="0.3">
      <c r="A126" s="1" t="s">
        <v>669</v>
      </c>
      <c r="B126" s="1">
        <f>COUNTIFS(Sheet1!K:K,A126,Sheet1!C:C,"x")</f>
        <v>1</v>
      </c>
      <c r="C126">
        <f>COUNTIFS(Sheet1!A:A,A126,Sheet1!D:D,"Chưa rõ")</f>
        <v>0</v>
      </c>
    </row>
    <row r="127" spans="1:3" x14ac:dyDescent="0.3">
      <c r="A127" s="1" t="s">
        <v>625</v>
      </c>
      <c r="B127" s="1">
        <f>COUNTIFS(Sheet1!K:K,A127,Sheet1!C:C,"x")</f>
        <v>2</v>
      </c>
      <c r="C127">
        <f>COUNTIFS(Sheet1!A:A,A127,Sheet1!D:D,"Chưa rõ")</f>
        <v>0</v>
      </c>
    </row>
    <row r="128" spans="1:3" x14ac:dyDescent="0.3">
      <c r="A128" s="1" t="s">
        <v>630</v>
      </c>
      <c r="B128" s="1">
        <f>COUNTIFS(Sheet1!K:K,A128,Sheet1!C:C,"x")</f>
        <v>1</v>
      </c>
      <c r="C128">
        <f>COUNTIFS(Sheet1!A:A,A128,Sheet1!D:D,"Chưa rõ")</f>
        <v>0</v>
      </c>
    </row>
    <row r="129" spans="1:3" x14ac:dyDescent="0.3">
      <c r="A129" s="1" t="s">
        <v>663</v>
      </c>
      <c r="B129" s="1">
        <f>COUNTIFS(Sheet1!K:K,A129,Sheet1!C:C,"x")</f>
        <v>3</v>
      </c>
      <c r="C129">
        <f>COUNTIFS(Sheet1!A:A,A129,Sheet1!D:D,"Chưa rõ")</f>
        <v>0</v>
      </c>
    </row>
    <row r="130" spans="1:3" x14ac:dyDescent="0.3">
      <c r="A130" s="1" t="s">
        <v>666</v>
      </c>
      <c r="B130" s="1">
        <f>COUNTIFS(Sheet1!K:K,A130,Sheet1!C:C,"x")</f>
        <v>2</v>
      </c>
      <c r="C130">
        <f>COUNTIFS(Sheet1!A:A,A130,Sheet1!D:D,"Chưa rõ")</f>
        <v>0</v>
      </c>
    </row>
    <row r="131" spans="1:3" x14ac:dyDescent="0.3">
      <c r="A131" s="1" t="s">
        <v>645</v>
      </c>
      <c r="B131" s="1">
        <f>COUNTIFS(Sheet1!K:K,A131,Sheet1!C:C,"x")</f>
        <v>2</v>
      </c>
      <c r="C131">
        <f>COUNTIFS(Sheet1!A:A,A131,Sheet1!D:D,"Chưa rõ")</f>
        <v>0</v>
      </c>
    </row>
  </sheetData>
  <autoFilter ref="A1:C131" xr:uid="{B6560DC7-259C-4824-A912-3D710F30CBB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CEF41-CE0B-4A44-846E-EC0D92C1509E}">
  <dimension ref="A1:B22"/>
  <sheetViews>
    <sheetView workbookViewId="0">
      <selection activeCell="F14" sqref="F14"/>
    </sheetView>
  </sheetViews>
  <sheetFormatPr defaultRowHeight="14.4" x14ac:dyDescent="0.3"/>
  <cols>
    <col min="2" max="2" width="8.88671875" style="1"/>
  </cols>
  <sheetData>
    <row r="1" spans="1:2" x14ac:dyDescent="0.3">
      <c r="A1" t="s">
        <v>49</v>
      </c>
      <c r="B1" s="1" t="s">
        <v>844</v>
      </c>
    </row>
    <row r="2" spans="1:2" x14ac:dyDescent="0.3">
      <c r="A2">
        <v>1</v>
      </c>
      <c r="B2" s="1">
        <f>COUNTIFS(Sheet1!B:B,A2,Sheet1!C:C,"x")</f>
        <v>1</v>
      </c>
    </row>
    <row r="3" spans="1:2" x14ac:dyDescent="0.3">
      <c r="A3">
        <v>2</v>
      </c>
      <c r="B3" s="1">
        <f>COUNTIFS(Sheet1!B:B,A3,Sheet1!C:C,"x")</f>
        <v>1</v>
      </c>
    </row>
    <row r="4" spans="1:2" x14ac:dyDescent="0.3">
      <c r="A4">
        <v>3</v>
      </c>
      <c r="B4" s="1">
        <f>COUNTIFS(Sheet1!B:B,A4,Sheet1!C:C,"x")</f>
        <v>1</v>
      </c>
    </row>
    <row r="5" spans="1:2" x14ac:dyDescent="0.3">
      <c r="A5">
        <v>4</v>
      </c>
      <c r="B5" s="1">
        <f>COUNTIFS(Sheet1!B:B,A5,Sheet1!C:C,"x")</f>
        <v>1</v>
      </c>
    </row>
    <row r="6" spans="1:2" x14ac:dyDescent="0.3">
      <c r="A6">
        <v>5</v>
      </c>
      <c r="B6" s="1">
        <f>COUNTIFS(Sheet1!B:B,A6,Sheet1!C:C,"x")</f>
        <v>4</v>
      </c>
    </row>
    <row r="7" spans="1:2" x14ac:dyDescent="0.3">
      <c r="A7">
        <v>6</v>
      </c>
      <c r="B7" s="1">
        <f>COUNTIFS(Sheet1!B:B,A7,Sheet1!C:C,"x")</f>
        <v>6</v>
      </c>
    </row>
    <row r="8" spans="1:2" x14ac:dyDescent="0.3">
      <c r="A8">
        <v>7</v>
      </c>
      <c r="B8" s="1">
        <f>COUNTIFS(Sheet1!B:B,A8,Sheet1!C:C,"x")</f>
        <v>5</v>
      </c>
    </row>
    <row r="9" spans="1:2" x14ac:dyDescent="0.3">
      <c r="A9">
        <v>8</v>
      </c>
      <c r="B9" s="1">
        <f>COUNTIFS(Sheet1!B:B,A9,Sheet1!C:C,"x")</f>
        <v>4</v>
      </c>
    </row>
    <row r="10" spans="1:2" x14ac:dyDescent="0.3">
      <c r="A10">
        <v>9</v>
      </c>
      <c r="B10" s="1">
        <f>COUNTIFS(Sheet1!B:B,A10,Sheet1!C:C,"x")</f>
        <v>3</v>
      </c>
    </row>
    <row r="11" spans="1:2" x14ac:dyDescent="0.3">
      <c r="A11">
        <v>10</v>
      </c>
      <c r="B11" s="1">
        <f>COUNTIFS(Sheet1!B:B,A11,Sheet1!C:C,"x")</f>
        <v>3</v>
      </c>
    </row>
    <row r="12" spans="1:2" x14ac:dyDescent="0.3">
      <c r="A12">
        <v>11</v>
      </c>
      <c r="B12" s="1">
        <f>COUNTIFS(Sheet1!B:B,A12,Sheet1!C:C,"x")</f>
        <v>9</v>
      </c>
    </row>
    <row r="13" spans="1:2" x14ac:dyDescent="0.3">
      <c r="A13">
        <v>12</v>
      </c>
      <c r="B13" s="1">
        <f>COUNTIFS(Sheet1!B:B,A13,Sheet1!C:C,"x")</f>
        <v>9</v>
      </c>
    </row>
    <row r="14" spans="1:2" x14ac:dyDescent="0.3">
      <c r="A14">
        <v>13</v>
      </c>
      <c r="B14" s="1">
        <f>COUNTIFS(Sheet1!B:B,A14,Sheet1!C:C,"x")</f>
        <v>11</v>
      </c>
    </row>
    <row r="15" spans="1:2" x14ac:dyDescent="0.3">
      <c r="A15">
        <v>14</v>
      </c>
      <c r="B15" s="1">
        <f>COUNTIFS(Sheet1!B:B,A15,Sheet1!C:C,"x")</f>
        <v>16</v>
      </c>
    </row>
    <row r="16" spans="1:2" x14ac:dyDescent="0.3">
      <c r="A16">
        <v>15</v>
      </c>
      <c r="B16" s="1">
        <f>COUNTIFS(Sheet1!B:B,A16,Sheet1!C:C,"x")</f>
        <v>28</v>
      </c>
    </row>
    <row r="17" spans="1:2" x14ac:dyDescent="0.3">
      <c r="A17">
        <v>16</v>
      </c>
      <c r="B17" s="1">
        <f>COUNTIFS(Sheet1!B:B,A17,Sheet1!C:C,"x")</f>
        <v>44</v>
      </c>
    </row>
    <row r="18" spans="1:2" x14ac:dyDescent="0.3">
      <c r="A18">
        <v>17</v>
      </c>
      <c r="B18" s="1">
        <f>COUNTIFS(Sheet1!B:B,A18,Sheet1!C:C,"x")</f>
        <v>47</v>
      </c>
    </row>
    <row r="19" spans="1:2" x14ac:dyDescent="0.3">
      <c r="A19">
        <v>18</v>
      </c>
      <c r="B19" s="1">
        <f>COUNTIFS(Sheet1!B:B,A19,Sheet1!C:C,"x")</f>
        <v>20</v>
      </c>
    </row>
    <row r="20" spans="1:2" x14ac:dyDescent="0.3">
      <c r="A20">
        <v>19</v>
      </c>
      <c r="B20" s="1">
        <f>COUNTIFS(Sheet1!B:B,A20,Sheet1!C:C,"x")</f>
        <v>0</v>
      </c>
    </row>
    <row r="21" spans="1:2" x14ac:dyDescent="0.3">
      <c r="A21">
        <v>20</v>
      </c>
      <c r="B21" s="1">
        <f>COUNTIFS(Sheet1!B:B,A21,Sheet1!C:C,"x")</f>
        <v>0</v>
      </c>
    </row>
    <row r="22" spans="1:2" x14ac:dyDescent="0.3">
      <c r="A22">
        <v>21</v>
      </c>
      <c r="B22" s="1">
        <f>COUNTIFS(Sheet1!B:B,A22,Sheet1!C:C,"x")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Sheet2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duongtoi</dc:creator>
  <cp:lastModifiedBy>Dương Trọng Tới</cp:lastModifiedBy>
  <dcterms:created xsi:type="dcterms:W3CDTF">2015-06-05T18:17:20Z</dcterms:created>
  <dcterms:modified xsi:type="dcterms:W3CDTF">2026-02-12T04:02:56Z</dcterms:modified>
</cp:coreProperties>
</file>